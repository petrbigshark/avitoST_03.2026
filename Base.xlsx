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r/Desktop/Projects/Avito_ST/ST_v2 - 03.2026/"/>
    </mc:Choice>
  </mc:AlternateContent>
  <xr:revisionPtr revIDLastSave="0" documentId="13_ncr:1_{2DEDBB7D-53E4-0848-8160-971DFC08EDDD}" xr6:coauthVersionLast="47" xr6:coauthVersionMax="47" xr10:uidLastSave="{00000000-0000-0000-0000-000000000000}"/>
  <bookViews>
    <workbookView xWindow="0" yWindow="760" windowWidth="30240" windowHeight="17380" tabRatio="500" xr2:uid="{00000000-000D-0000-FFFF-FFFF00000000}"/>
  </bookViews>
  <sheets>
    <sheet name="Лист2" sheetId="4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U395" i="4" l="1"/>
  <c r="L395" i="4" s="1"/>
  <c r="T395" i="4" s="1"/>
  <c r="P395" i="4"/>
  <c r="O395" i="4"/>
  <c r="I395" i="4" a="1"/>
  <c r="I395" i="4" s="1"/>
  <c r="H395" i="4"/>
  <c r="F395" i="4"/>
  <c r="G395" i="4" s="1"/>
  <c r="A395" i="4"/>
  <c r="U394" i="4"/>
  <c r="L394" i="4" s="1"/>
  <c r="T394" i="4" s="1"/>
  <c r="P394" i="4"/>
  <c r="O394" i="4"/>
  <c r="I394" i="4" a="1"/>
  <c r="I394" i="4" s="1"/>
  <c r="H394" i="4"/>
  <c r="F394" i="4"/>
  <c r="G394" i="4" s="1"/>
  <c r="A394" i="4"/>
  <c r="U393" i="4"/>
  <c r="L393" i="4" s="1"/>
  <c r="T393" i="4" s="1"/>
  <c r="P393" i="4"/>
  <c r="O393" i="4"/>
  <c r="I393" i="4" a="1"/>
  <c r="I393" i="4" s="1"/>
  <c r="H393" i="4"/>
  <c r="G393" i="4"/>
  <c r="F393" i="4"/>
  <c r="A393" i="4"/>
  <c r="U392" i="4"/>
  <c r="L392" i="4" s="1"/>
  <c r="T392" i="4" s="1"/>
  <c r="P392" i="4"/>
  <c r="O392" i="4"/>
  <c r="I392" i="4" a="1"/>
  <c r="I392" i="4" s="1"/>
  <c r="H392" i="4"/>
  <c r="F392" i="4"/>
  <c r="G392" i="4" s="1"/>
  <c r="A392" i="4"/>
  <c r="U391" i="4"/>
  <c r="L391" i="4" s="1"/>
  <c r="T391" i="4" s="1"/>
  <c r="P391" i="4"/>
  <c r="O391" i="4"/>
  <c r="I391" i="4" a="1"/>
  <c r="I391" i="4" s="1"/>
  <c r="H391" i="4"/>
  <c r="F391" i="4"/>
  <c r="G391" i="4" s="1"/>
  <c r="A391" i="4"/>
  <c r="U390" i="4"/>
  <c r="L390" i="4" s="1"/>
  <c r="T390" i="4" s="1"/>
  <c r="P390" i="4"/>
  <c r="O390" i="4"/>
  <c r="I390" i="4" a="1"/>
  <c r="I390" i="4" s="1"/>
  <c r="H390" i="4"/>
  <c r="F390" i="4"/>
  <c r="G390" i="4" s="1"/>
  <c r="A390" i="4"/>
  <c r="U389" i="4"/>
  <c r="L389" i="4" s="1"/>
  <c r="T389" i="4" s="1"/>
  <c r="P389" i="4"/>
  <c r="O389" i="4"/>
  <c r="I389" i="4" a="1"/>
  <c r="I389" i="4" s="1"/>
  <c r="H389" i="4"/>
  <c r="F389" i="4"/>
  <c r="G389" i="4" s="1"/>
  <c r="A389" i="4"/>
  <c r="U388" i="4"/>
  <c r="L388" i="4" s="1"/>
  <c r="T388" i="4" s="1"/>
  <c r="P388" i="4"/>
  <c r="O388" i="4"/>
  <c r="I388" i="4" a="1"/>
  <c r="I388" i="4" s="1"/>
  <c r="H388" i="4"/>
  <c r="F388" i="4"/>
  <c r="G388" i="4" s="1"/>
  <c r="A388" i="4"/>
  <c r="U387" i="4"/>
  <c r="L387" i="4" s="1"/>
  <c r="T387" i="4" s="1"/>
  <c r="P387" i="4"/>
  <c r="O387" i="4"/>
  <c r="I387" i="4" a="1"/>
  <c r="I387" i="4" s="1"/>
  <c r="H387" i="4"/>
  <c r="F387" i="4"/>
  <c r="G387" i="4" s="1"/>
  <c r="A387" i="4"/>
  <c r="U386" i="4"/>
  <c r="L386" i="4" s="1"/>
  <c r="T386" i="4" s="1"/>
  <c r="P386" i="4"/>
  <c r="O386" i="4"/>
  <c r="I386" i="4" a="1"/>
  <c r="I386" i="4" s="1"/>
  <c r="H386" i="4"/>
  <c r="F386" i="4"/>
  <c r="G386" i="4" s="1"/>
  <c r="A386" i="4"/>
  <c r="U385" i="4"/>
  <c r="L385" i="4" s="1"/>
  <c r="T385" i="4" s="1"/>
  <c r="P385" i="4"/>
  <c r="O385" i="4"/>
  <c r="I385" i="4" a="1"/>
  <c r="I385" i="4" s="1"/>
  <c r="H385" i="4"/>
  <c r="F385" i="4"/>
  <c r="G385" i="4" s="1"/>
  <c r="A385" i="4"/>
  <c r="U384" i="4"/>
  <c r="L384" i="4" s="1"/>
  <c r="T384" i="4" s="1"/>
  <c r="P384" i="4"/>
  <c r="O384" i="4"/>
  <c r="I384" i="4" a="1"/>
  <c r="I384" i="4" s="1"/>
  <c r="H384" i="4"/>
  <c r="F384" i="4"/>
  <c r="G384" i="4" s="1"/>
  <c r="A384" i="4"/>
  <c r="U383" i="4"/>
  <c r="L383" i="4" s="1"/>
  <c r="T383" i="4" s="1"/>
  <c r="P383" i="4"/>
  <c r="O383" i="4"/>
  <c r="I383" i="4" a="1"/>
  <c r="I383" i="4" s="1"/>
  <c r="H383" i="4"/>
  <c r="F383" i="4"/>
  <c r="G383" i="4" s="1"/>
  <c r="A383" i="4"/>
  <c r="U382" i="4"/>
  <c r="L382" i="4" s="1"/>
  <c r="T382" i="4" s="1"/>
  <c r="P382" i="4"/>
  <c r="O382" i="4"/>
  <c r="I382" i="4" a="1"/>
  <c r="I382" i="4" s="1"/>
  <c r="H382" i="4"/>
  <c r="F382" i="4"/>
  <c r="G382" i="4" s="1"/>
  <c r="A382" i="4"/>
  <c r="U381" i="4"/>
  <c r="L381" i="4" s="1"/>
  <c r="T381" i="4" s="1"/>
  <c r="P381" i="4"/>
  <c r="O381" i="4"/>
  <c r="I381" i="4" a="1"/>
  <c r="I381" i="4" s="1"/>
  <c r="H381" i="4"/>
  <c r="F381" i="4"/>
  <c r="G381" i="4" s="1"/>
  <c r="A381" i="4"/>
  <c r="U380" i="4"/>
  <c r="L380" i="4" s="1"/>
  <c r="T380" i="4" s="1"/>
  <c r="P380" i="4"/>
  <c r="O380" i="4"/>
  <c r="I380" i="4" a="1"/>
  <c r="I380" i="4" s="1"/>
  <c r="H380" i="4"/>
  <c r="F380" i="4"/>
  <c r="G380" i="4" s="1"/>
  <c r="A380" i="4"/>
  <c r="U379" i="4"/>
  <c r="L379" i="4" s="1"/>
  <c r="T379" i="4" s="1"/>
  <c r="P379" i="4"/>
  <c r="O379" i="4"/>
  <c r="I379" i="4" a="1"/>
  <c r="I379" i="4" s="1"/>
  <c r="H379" i="4"/>
  <c r="F379" i="4"/>
  <c r="G379" i="4" s="1"/>
  <c r="A379" i="4"/>
  <c r="U378" i="4"/>
  <c r="L378" i="4" s="1"/>
  <c r="T378" i="4" s="1"/>
  <c r="P378" i="4"/>
  <c r="O378" i="4"/>
  <c r="I378" i="4" a="1"/>
  <c r="I378" i="4" s="1"/>
  <c r="H378" i="4"/>
  <c r="F378" i="4"/>
  <c r="G378" i="4" s="1"/>
  <c r="A378" i="4"/>
  <c r="U377" i="4"/>
  <c r="L377" i="4" s="1"/>
  <c r="T377" i="4" s="1"/>
  <c r="P377" i="4"/>
  <c r="O377" i="4"/>
  <c r="I377" i="4" a="1"/>
  <c r="I377" i="4" s="1"/>
  <c r="H377" i="4"/>
  <c r="F377" i="4"/>
  <c r="G377" i="4" s="1"/>
  <c r="A377" i="4"/>
  <c r="U376" i="4"/>
  <c r="L376" i="4" s="1"/>
  <c r="T376" i="4" s="1"/>
  <c r="P376" i="4"/>
  <c r="O376" i="4"/>
  <c r="I376" i="4" a="1"/>
  <c r="I376" i="4" s="1"/>
  <c r="H376" i="4"/>
  <c r="F376" i="4"/>
  <c r="G376" i="4" s="1"/>
  <c r="A376" i="4"/>
  <c r="U375" i="4"/>
  <c r="L375" i="4" s="1"/>
  <c r="T375" i="4" s="1"/>
  <c r="P375" i="4"/>
  <c r="O375" i="4"/>
  <c r="I375" i="4" a="1"/>
  <c r="I375" i="4" s="1"/>
  <c r="H375" i="4"/>
  <c r="G375" i="4"/>
  <c r="F375" i="4"/>
  <c r="A375" i="4"/>
  <c r="U374" i="4"/>
  <c r="L374" i="4" s="1"/>
  <c r="T374" i="4" s="1"/>
  <c r="P374" i="4"/>
  <c r="O374" i="4"/>
  <c r="I374" i="4" a="1"/>
  <c r="I374" i="4" s="1"/>
  <c r="H374" i="4"/>
  <c r="F374" i="4"/>
  <c r="G374" i="4" s="1"/>
  <c r="A374" i="4"/>
  <c r="U373" i="4"/>
  <c r="L373" i="4" s="1"/>
  <c r="T373" i="4" s="1"/>
  <c r="P373" i="4"/>
  <c r="O373" i="4"/>
  <c r="I373" i="4" a="1"/>
  <c r="I373" i="4" s="1"/>
  <c r="H373" i="4"/>
  <c r="F373" i="4"/>
  <c r="G373" i="4" s="1"/>
  <c r="A373" i="4"/>
  <c r="U372" i="4"/>
  <c r="L372" i="4" s="1"/>
  <c r="T372" i="4" s="1"/>
  <c r="P372" i="4"/>
  <c r="O372" i="4"/>
  <c r="I372" i="4" a="1"/>
  <c r="I372" i="4" s="1"/>
  <c r="H372" i="4"/>
  <c r="F372" i="4"/>
  <c r="G372" i="4" s="1"/>
  <c r="A372" i="4"/>
  <c r="U371" i="4"/>
  <c r="L371" i="4" s="1"/>
  <c r="T371" i="4" s="1"/>
  <c r="P371" i="4"/>
  <c r="O371" i="4"/>
  <c r="I371" i="4" a="1"/>
  <c r="I371" i="4" s="1"/>
  <c r="H371" i="4"/>
  <c r="F371" i="4"/>
  <c r="G371" i="4" s="1"/>
  <c r="A371" i="4"/>
  <c r="U370" i="4"/>
  <c r="L370" i="4" s="1"/>
  <c r="T370" i="4" s="1"/>
  <c r="P370" i="4"/>
  <c r="O370" i="4"/>
  <c r="I370" i="4" a="1"/>
  <c r="I370" i="4" s="1"/>
  <c r="H370" i="4"/>
  <c r="F370" i="4"/>
  <c r="G370" i="4" s="1"/>
  <c r="A370" i="4"/>
  <c r="U369" i="4"/>
  <c r="L369" i="4" s="1"/>
  <c r="T369" i="4" s="1"/>
  <c r="P369" i="4"/>
  <c r="O369" i="4"/>
  <c r="I369" i="4" a="1"/>
  <c r="I369" i="4" s="1"/>
  <c r="H369" i="4"/>
  <c r="F369" i="4"/>
  <c r="G369" i="4" s="1"/>
  <c r="A369" i="4"/>
  <c r="U368" i="4"/>
  <c r="P368" i="4"/>
  <c r="O368" i="4"/>
  <c r="L368" i="4"/>
  <c r="T368" i="4" s="1"/>
  <c r="I368" i="4" a="1"/>
  <c r="I368" i="4" s="1"/>
  <c r="H368" i="4"/>
  <c r="F368" i="4"/>
  <c r="G368" i="4" s="1"/>
  <c r="A368" i="4"/>
  <c r="U367" i="4"/>
  <c r="L367" i="4" s="1"/>
  <c r="T367" i="4" s="1"/>
  <c r="P367" i="4"/>
  <c r="O367" i="4"/>
  <c r="I367" i="4" a="1"/>
  <c r="I367" i="4" s="1"/>
  <c r="H367" i="4"/>
  <c r="F367" i="4"/>
  <c r="G367" i="4" s="1"/>
  <c r="A367" i="4"/>
  <c r="U366" i="4"/>
  <c r="L366" i="4" s="1"/>
  <c r="T366" i="4" s="1"/>
  <c r="P366" i="4"/>
  <c r="O366" i="4"/>
  <c r="I366" i="4" a="1"/>
  <c r="I366" i="4" s="1"/>
  <c r="H366" i="4"/>
  <c r="F366" i="4"/>
  <c r="G366" i="4" s="1"/>
  <c r="A366" i="4"/>
  <c r="U365" i="4"/>
  <c r="L365" i="4" s="1"/>
  <c r="T365" i="4" s="1"/>
  <c r="P365" i="4"/>
  <c r="O365" i="4"/>
  <c r="I365" i="4" a="1"/>
  <c r="I365" i="4" s="1"/>
  <c r="H365" i="4"/>
  <c r="F365" i="4"/>
  <c r="G365" i="4" s="1"/>
  <c r="A365" i="4"/>
  <c r="U364" i="4"/>
  <c r="L364" i="4" s="1"/>
  <c r="T364" i="4" s="1"/>
  <c r="P364" i="4"/>
  <c r="O364" i="4"/>
  <c r="I364" i="4" a="1"/>
  <c r="I364" i="4" s="1"/>
  <c r="H364" i="4"/>
  <c r="G364" i="4"/>
  <c r="F364" i="4"/>
  <c r="A364" i="4"/>
  <c r="U363" i="4"/>
  <c r="L363" i="4" s="1"/>
  <c r="T363" i="4" s="1"/>
  <c r="P363" i="4"/>
  <c r="O363" i="4"/>
  <c r="I363" i="4" a="1"/>
  <c r="I363" i="4" s="1"/>
  <c r="H363" i="4"/>
  <c r="F363" i="4"/>
  <c r="G363" i="4" s="1"/>
  <c r="A363" i="4"/>
  <c r="U362" i="4"/>
  <c r="L362" i="4" s="1"/>
  <c r="T362" i="4" s="1"/>
  <c r="P362" i="4"/>
  <c r="O362" i="4"/>
  <c r="I362" i="4" a="1"/>
  <c r="I362" i="4" s="1"/>
  <c r="H362" i="4"/>
  <c r="F362" i="4"/>
  <c r="G362" i="4" s="1"/>
  <c r="A362" i="4"/>
  <c r="U361" i="4"/>
  <c r="L361" i="4" s="1"/>
  <c r="T361" i="4" s="1"/>
  <c r="P361" i="4"/>
  <c r="O361" i="4"/>
  <c r="I361" i="4" a="1"/>
  <c r="I361" i="4" s="1"/>
  <c r="H361" i="4"/>
  <c r="F361" i="4"/>
  <c r="G361" i="4" s="1"/>
  <c r="A361" i="4"/>
  <c r="U360" i="4"/>
  <c r="L360" i="4" s="1"/>
  <c r="T360" i="4" s="1"/>
  <c r="P360" i="4"/>
  <c r="O360" i="4"/>
  <c r="I360" i="4" a="1"/>
  <c r="I360" i="4" s="1"/>
  <c r="H360" i="4"/>
  <c r="F360" i="4"/>
  <c r="G360" i="4" s="1"/>
  <c r="A360" i="4"/>
  <c r="U359" i="4"/>
  <c r="L359" i="4" s="1"/>
  <c r="T359" i="4" s="1"/>
  <c r="P359" i="4"/>
  <c r="O359" i="4"/>
  <c r="I359" i="4" a="1"/>
  <c r="I359" i="4" s="1"/>
  <c r="H359" i="4"/>
  <c r="F359" i="4"/>
  <c r="G359" i="4" s="1"/>
  <c r="A359" i="4"/>
  <c r="U358" i="4"/>
  <c r="L358" i="4" s="1"/>
  <c r="T358" i="4" s="1"/>
  <c r="P358" i="4"/>
  <c r="O358" i="4"/>
  <c r="I358" i="4" a="1"/>
  <c r="I358" i="4" s="1"/>
  <c r="H358" i="4"/>
  <c r="F358" i="4"/>
  <c r="G358" i="4" s="1"/>
  <c r="A358" i="4"/>
  <c r="U357" i="4"/>
  <c r="L357" i="4" s="1"/>
  <c r="T357" i="4" s="1"/>
  <c r="P357" i="4"/>
  <c r="O357" i="4"/>
  <c r="I357" i="4" a="1"/>
  <c r="I357" i="4" s="1"/>
  <c r="H357" i="4"/>
  <c r="F357" i="4"/>
  <c r="G357" i="4" s="1"/>
  <c r="A357" i="4"/>
  <c r="U356" i="4"/>
  <c r="L356" i="4" s="1"/>
  <c r="T356" i="4" s="1"/>
  <c r="P356" i="4"/>
  <c r="O356" i="4"/>
  <c r="I356" i="4" a="1"/>
  <c r="I356" i="4" s="1"/>
  <c r="H356" i="4"/>
  <c r="F356" i="4"/>
  <c r="G356" i="4" s="1"/>
  <c r="A356" i="4"/>
  <c r="U355" i="4"/>
  <c r="L355" i="4" s="1"/>
  <c r="T355" i="4" s="1"/>
  <c r="P355" i="4"/>
  <c r="O355" i="4"/>
  <c r="I355" i="4" a="1"/>
  <c r="I355" i="4" s="1"/>
  <c r="H355" i="4"/>
  <c r="F355" i="4"/>
  <c r="G355" i="4" s="1"/>
  <c r="A355" i="4"/>
  <c r="U354" i="4"/>
  <c r="L354" i="4" s="1"/>
  <c r="T354" i="4" s="1"/>
  <c r="P354" i="4"/>
  <c r="O354" i="4"/>
  <c r="I354" i="4" a="1"/>
  <c r="I354" i="4" s="1"/>
  <c r="H354" i="4"/>
  <c r="F354" i="4"/>
  <c r="G354" i="4" s="1"/>
  <c r="A354" i="4"/>
  <c r="U353" i="4"/>
  <c r="P353" i="4"/>
  <c r="O353" i="4"/>
  <c r="L353" i="4"/>
  <c r="T353" i="4" s="1"/>
  <c r="I353" i="4" a="1"/>
  <c r="I353" i="4" s="1"/>
  <c r="H353" i="4"/>
  <c r="F353" i="4"/>
  <c r="G353" i="4" s="1"/>
  <c r="A353" i="4"/>
  <c r="U352" i="4"/>
  <c r="L352" i="4" s="1"/>
  <c r="T352" i="4" s="1"/>
  <c r="P352" i="4"/>
  <c r="O352" i="4"/>
  <c r="I352" i="4" a="1"/>
  <c r="I352" i="4" s="1"/>
  <c r="H352" i="4"/>
  <c r="F352" i="4"/>
  <c r="G352" i="4" s="1"/>
  <c r="A352" i="4"/>
  <c r="U351" i="4"/>
  <c r="L351" i="4" s="1"/>
  <c r="T351" i="4" s="1"/>
  <c r="P351" i="4"/>
  <c r="O351" i="4"/>
  <c r="I351" i="4" a="1"/>
  <c r="I351" i="4" s="1"/>
  <c r="H351" i="4"/>
  <c r="F351" i="4"/>
  <c r="G351" i="4" s="1"/>
  <c r="A351" i="4"/>
  <c r="U350" i="4"/>
  <c r="L350" i="4" s="1"/>
  <c r="T350" i="4" s="1"/>
  <c r="P350" i="4"/>
  <c r="O350" i="4"/>
  <c r="I350" i="4" a="1"/>
  <c r="I350" i="4" s="1"/>
  <c r="H350" i="4"/>
  <c r="F350" i="4"/>
  <c r="G350" i="4" s="1"/>
  <c r="A350" i="4"/>
  <c r="U349" i="4"/>
  <c r="L349" i="4" s="1"/>
  <c r="T349" i="4" s="1"/>
  <c r="P349" i="4"/>
  <c r="O349" i="4"/>
  <c r="I349" i="4" a="1"/>
  <c r="I349" i="4" s="1"/>
  <c r="H349" i="4"/>
  <c r="F349" i="4"/>
  <c r="G349" i="4" s="1"/>
  <c r="A349" i="4"/>
  <c r="U348" i="4"/>
  <c r="L348" i="4" s="1"/>
  <c r="T348" i="4" s="1"/>
  <c r="P348" i="4"/>
  <c r="O348" i="4"/>
  <c r="I348" i="4" a="1"/>
  <c r="I348" i="4" s="1"/>
  <c r="H348" i="4"/>
  <c r="F348" i="4"/>
  <c r="G348" i="4" s="1"/>
  <c r="A348" i="4"/>
  <c r="U347" i="4"/>
  <c r="L347" i="4" s="1"/>
  <c r="T347" i="4" s="1"/>
  <c r="P347" i="4"/>
  <c r="O347" i="4"/>
  <c r="I347" i="4" a="1"/>
  <c r="I347" i="4" s="1"/>
  <c r="H347" i="4"/>
  <c r="F347" i="4"/>
  <c r="G347" i="4" s="1"/>
  <c r="A347" i="4"/>
  <c r="U346" i="4"/>
  <c r="L346" i="4" s="1"/>
  <c r="T346" i="4" s="1"/>
  <c r="P346" i="4"/>
  <c r="O346" i="4"/>
  <c r="I346" i="4" a="1"/>
  <c r="I346" i="4" s="1"/>
  <c r="H346" i="4"/>
  <c r="F346" i="4"/>
  <c r="G346" i="4" s="1"/>
  <c r="A346" i="4"/>
  <c r="U345" i="4"/>
  <c r="L345" i="4" s="1"/>
  <c r="T345" i="4" s="1"/>
  <c r="P345" i="4"/>
  <c r="O345" i="4"/>
  <c r="I345" i="4" a="1"/>
  <c r="I345" i="4" s="1"/>
  <c r="H345" i="4"/>
  <c r="F345" i="4"/>
  <c r="G345" i="4" s="1"/>
  <c r="A345" i="4"/>
  <c r="U344" i="4"/>
  <c r="L344" i="4" s="1"/>
  <c r="T344" i="4" s="1"/>
  <c r="P344" i="4"/>
  <c r="O344" i="4"/>
  <c r="I344" i="4" a="1"/>
  <c r="I344" i="4" s="1"/>
  <c r="H344" i="4"/>
  <c r="F344" i="4"/>
  <c r="G344" i="4" s="1"/>
  <c r="A344" i="4"/>
  <c r="U343" i="4"/>
  <c r="L343" i="4" s="1"/>
  <c r="T343" i="4" s="1"/>
  <c r="P343" i="4"/>
  <c r="O343" i="4"/>
  <c r="I343" i="4" a="1"/>
  <c r="I343" i="4" s="1"/>
  <c r="H343" i="4"/>
  <c r="F343" i="4"/>
  <c r="G343" i="4" s="1"/>
  <c r="A343" i="4"/>
  <c r="U342" i="4"/>
  <c r="L342" i="4" s="1"/>
  <c r="T342" i="4" s="1"/>
  <c r="P342" i="4"/>
  <c r="O342" i="4"/>
  <c r="I342" i="4" a="1"/>
  <c r="I342" i="4" s="1"/>
  <c r="H342" i="4"/>
  <c r="F342" i="4"/>
  <c r="G342" i="4" s="1"/>
  <c r="A342" i="4"/>
  <c r="U341" i="4"/>
  <c r="L341" i="4" s="1"/>
  <c r="T341" i="4" s="1"/>
  <c r="P341" i="4"/>
  <c r="O341" i="4"/>
  <c r="I341" i="4" a="1"/>
  <c r="I341" i="4" s="1"/>
  <c r="H341" i="4"/>
  <c r="F341" i="4"/>
  <c r="G341" i="4" s="1"/>
  <c r="A341" i="4"/>
  <c r="U340" i="4"/>
  <c r="L340" i="4" s="1"/>
  <c r="T340" i="4" s="1"/>
  <c r="P340" i="4"/>
  <c r="O340" i="4"/>
  <c r="I340" i="4" a="1"/>
  <c r="I340" i="4" s="1"/>
  <c r="H340" i="4"/>
  <c r="F340" i="4"/>
  <c r="G340" i="4" s="1"/>
  <c r="A340" i="4"/>
  <c r="U339" i="4"/>
  <c r="L339" i="4" s="1"/>
  <c r="T339" i="4" s="1"/>
  <c r="P339" i="4"/>
  <c r="O339" i="4"/>
  <c r="I339" i="4" a="1"/>
  <c r="I339" i="4" s="1"/>
  <c r="H339" i="4"/>
  <c r="F339" i="4"/>
  <c r="G339" i="4" s="1"/>
  <c r="A339" i="4"/>
  <c r="U338" i="4"/>
  <c r="L338" i="4" s="1"/>
  <c r="T338" i="4" s="1"/>
  <c r="P338" i="4"/>
  <c r="O338" i="4"/>
  <c r="I338" i="4" a="1"/>
  <c r="I338" i="4" s="1"/>
  <c r="H338" i="4"/>
  <c r="F338" i="4"/>
  <c r="G338" i="4" s="1"/>
  <c r="A338" i="4"/>
  <c r="U337" i="4"/>
  <c r="L337" i="4" s="1"/>
  <c r="T337" i="4" s="1"/>
  <c r="P337" i="4"/>
  <c r="O337" i="4"/>
  <c r="I337" i="4" a="1"/>
  <c r="I337" i="4" s="1"/>
  <c r="H337" i="4"/>
  <c r="F337" i="4"/>
  <c r="G337" i="4" s="1"/>
  <c r="A337" i="4"/>
  <c r="U336" i="4"/>
  <c r="L336" i="4" s="1"/>
  <c r="T336" i="4" s="1"/>
  <c r="P336" i="4"/>
  <c r="O336" i="4"/>
  <c r="I336" i="4" a="1"/>
  <c r="I336" i="4" s="1"/>
  <c r="H336" i="4"/>
  <c r="F336" i="4"/>
  <c r="G336" i="4" s="1"/>
  <c r="A336" i="4"/>
  <c r="U335" i="4"/>
  <c r="L335" i="4" s="1"/>
  <c r="T335" i="4" s="1"/>
  <c r="P335" i="4"/>
  <c r="O335" i="4"/>
  <c r="I335" i="4" a="1"/>
  <c r="I335" i="4" s="1"/>
  <c r="H335" i="4"/>
  <c r="F335" i="4"/>
  <c r="G335" i="4" s="1"/>
  <c r="A335" i="4"/>
  <c r="U334" i="4"/>
  <c r="P334" i="4"/>
  <c r="O334" i="4"/>
  <c r="L334" i="4"/>
  <c r="T334" i="4" s="1"/>
  <c r="I334" i="4" a="1"/>
  <c r="I334" i="4" s="1"/>
  <c r="H334" i="4"/>
  <c r="F334" i="4"/>
  <c r="G334" i="4" s="1"/>
  <c r="A334" i="4"/>
  <c r="U333" i="4"/>
  <c r="L333" i="4" s="1"/>
  <c r="T333" i="4" s="1"/>
  <c r="P333" i="4"/>
  <c r="O333" i="4"/>
  <c r="I333" i="4" a="1"/>
  <c r="I333" i="4" s="1"/>
  <c r="H333" i="4"/>
  <c r="F333" i="4"/>
  <c r="G333" i="4" s="1"/>
  <c r="A333" i="4"/>
  <c r="U332" i="4"/>
  <c r="L332" i="4" s="1"/>
  <c r="T332" i="4" s="1"/>
  <c r="P332" i="4"/>
  <c r="O332" i="4"/>
  <c r="I332" i="4" a="1"/>
  <c r="I332" i="4" s="1"/>
  <c r="H332" i="4"/>
  <c r="F332" i="4"/>
  <c r="G332" i="4" s="1"/>
  <c r="A332" i="4"/>
  <c r="U331" i="4"/>
  <c r="L331" i="4" s="1"/>
  <c r="T331" i="4" s="1"/>
  <c r="P331" i="4"/>
  <c r="O331" i="4"/>
  <c r="I331" i="4" a="1"/>
  <c r="I331" i="4" s="1"/>
  <c r="H331" i="4"/>
  <c r="F331" i="4"/>
  <c r="G331" i="4" s="1"/>
  <c r="A331" i="4"/>
  <c r="U330" i="4"/>
  <c r="L330" i="4" s="1"/>
  <c r="T330" i="4" s="1"/>
  <c r="P330" i="4"/>
  <c r="O330" i="4"/>
  <c r="I330" i="4" a="1"/>
  <c r="I330" i="4" s="1"/>
  <c r="H330" i="4"/>
  <c r="F330" i="4"/>
  <c r="G330" i="4" s="1"/>
  <c r="A330" i="4"/>
  <c r="U329" i="4"/>
  <c r="P329" i="4"/>
  <c r="O329" i="4"/>
  <c r="L329" i="4"/>
  <c r="T329" i="4" s="1"/>
  <c r="I329" i="4" a="1"/>
  <c r="I329" i="4" s="1"/>
  <c r="H329" i="4"/>
  <c r="F329" i="4"/>
  <c r="G329" i="4" s="1"/>
  <c r="A329" i="4"/>
  <c r="U328" i="4"/>
  <c r="L328" i="4" s="1"/>
  <c r="T328" i="4" s="1"/>
  <c r="P328" i="4"/>
  <c r="O328" i="4"/>
  <c r="I328" i="4" a="1"/>
  <c r="I328" i="4" s="1"/>
  <c r="H328" i="4"/>
  <c r="F328" i="4"/>
  <c r="G328" i="4" s="1"/>
  <c r="A328" i="4"/>
  <c r="U327" i="4"/>
  <c r="L327" i="4" s="1"/>
  <c r="T327" i="4" s="1"/>
  <c r="P327" i="4"/>
  <c r="O327" i="4"/>
  <c r="I327" i="4" a="1"/>
  <c r="I327" i="4" s="1"/>
  <c r="H327" i="4"/>
  <c r="F327" i="4"/>
  <c r="G327" i="4" s="1"/>
  <c r="A327" i="4"/>
  <c r="U326" i="4"/>
  <c r="L326" i="4" s="1"/>
  <c r="T326" i="4" s="1"/>
  <c r="P326" i="4"/>
  <c r="O326" i="4"/>
  <c r="I326" i="4" a="1"/>
  <c r="I326" i="4" s="1"/>
  <c r="H326" i="4"/>
  <c r="F326" i="4"/>
  <c r="G326" i="4" s="1"/>
  <c r="A326" i="4"/>
  <c r="U325" i="4"/>
  <c r="L325" i="4" s="1"/>
  <c r="T325" i="4" s="1"/>
  <c r="P325" i="4"/>
  <c r="O325" i="4"/>
  <c r="I325" i="4" a="1"/>
  <c r="I325" i="4" s="1"/>
  <c r="H325" i="4"/>
  <c r="F325" i="4"/>
  <c r="G325" i="4" s="1"/>
  <c r="A325" i="4"/>
  <c r="U324" i="4"/>
  <c r="L324" i="4" s="1"/>
  <c r="T324" i="4" s="1"/>
  <c r="P324" i="4"/>
  <c r="O324" i="4"/>
  <c r="I324" i="4" a="1"/>
  <c r="I324" i="4" s="1"/>
  <c r="H324" i="4"/>
  <c r="F324" i="4"/>
  <c r="G324" i="4" s="1"/>
  <c r="A324" i="4"/>
  <c r="U323" i="4"/>
  <c r="L323" i="4" s="1"/>
  <c r="T323" i="4" s="1"/>
  <c r="P323" i="4"/>
  <c r="O323" i="4"/>
  <c r="I323" i="4" a="1"/>
  <c r="I323" i="4" s="1"/>
  <c r="H323" i="4"/>
  <c r="F323" i="4"/>
  <c r="G323" i="4" s="1"/>
  <c r="A323" i="4"/>
  <c r="U322" i="4"/>
  <c r="L322" i="4" s="1"/>
  <c r="T322" i="4" s="1"/>
  <c r="P322" i="4"/>
  <c r="O322" i="4"/>
  <c r="I322" i="4" a="1"/>
  <c r="I322" i="4" s="1"/>
  <c r="H322" i="4"/>
  <c r="F322" i="4"/>
  <c r="G322" i="4" s="1"/>
  <c r="A322" i="4"/>
  <c r="U321" i="4"/>
  <c r="L321" i="4" s="1"/>
  <c r="T321" i="4" s="1"/>
  <c r="P321" i="4"/>
  <c r="O321" i="4"/>
  <c r="I321" i="4" a="1"/>
  <c r="I321" i="4" s="1"/>
  <c r="H321" i="4"/>
  <c r="F321" i="4"/>
  <c r="G321" i="4" s="1"/>
  <c r="A321" i="4"/>
  <c r="U320" i="4"/>
  <c r="L320" i="4" s="1"/>
  <c r="T320" i="4" s="1"/>
  <c r="P320" i="4"/>
  <c r="O320" i="4"/>
  <c r="I320" i="4" a="1"/>
  <c r="I320" i="4" s="1"/>
  <c r="H320" i="4"/>
  <c r="F320" i="4"/>
  <c r="G320" i="4" s="1"/>
  <c r="A320" i="4"/>
  <c r="U319" i="4"/>
  <c r="L319" i="4" s="1"/>
  <c r="T319" i="4" s="1"/>
  <c r="P319" i="4"/>
  <c r="O319" i="4"/>
  <c r="I319" i="4" a="1"/>
  <c r="I319" i="4" s="1"/>
  <c r="H319" i="4"/>
  <c r="F319" i="4"/>
  <c r="G319" i="4" s="1"/>
  <c r="A319" i="4"/>
  <c r="U318" i="4"/>
  <c r="L318" i="4" s="1"/>
  <c r="T318" i="4" s="1"/>
  <c r="P318" i="4"/>
  <c r="O318" i="4"/>
  <c r="I318" i="4" a="1"/>
  <c r="I318" i="4" s="1"/>
  <c r="H318" i="4"/>
  <c r="F318" i="4"/>
  <c r="G318" i="4" s="1"/>
  <c r="A318" i="4"/>
  <c r="U317" i="4"/>
  <c r="L317" i="4" s="1"/>
  <c r="T317" i="4" s="1"/>
  <c r="P317" i="4"/>
  <c r="O317" i="4"/>
  <c r="I317" i="4" a="1"/>
  <c r="I317" i="4" s="1"/>
  <c r="H317" i="4"/>
  <c r="F317" i="4"/>
  <c r="G317" i="4" s="1"/>
  <c r="A317" i="4"/>
  <c r="U316" i="4"/>
  <c r="L316" i="4" s="1"/>
  <c r="T316" i="4" s="1"/>
  <c r="P316" i="4"/>
  <c r="O316" i="4"/>
  <c r="I316" i="4" a="1"/>
  <c r="I316" i="4" s="1"/>
  <c r="H316" i="4"/>
  <c r="F316" i="4"/>
  <c r="G316" i="4" s="1"/>
  <c r="A316" i="4"/>
  <c r="U315" i="4"/>
  <c r="L315" i="4" s="1"/>
  <c r="T315" i="4" s="1"/>
  <c r="P315" i="4"/>
  <c r="O315" i="4"/>
  <c r="I315" i="4" a="1"/>
  <c r="I315" i="4" s="1"/>
  <c r="H315" i="4"/>
  <c r="F315" i="4"/>
  <c r="G315" i="4" s="1"/>
  <c r="A315" i="4"/>
  <c r="U314" i="4"/>
  <c r="L314" i="4" s="1"/>
  <c r="T314" i="4" s="1"/>
  <c r="P314" i="4"/>
  <c r="O314" i="4"/>
  <c r="I314" i="4" a="1"/>
  <c r="I314" i="4" s="1"/>
  <c r="H314" i="4"/>
  <c r="F314" i="4"/>
  <c r="G314" i="4" s="1"/>
  <c r="A314" i="4"/>
  <c r="U313" i="4"/>
  <c r="L313" i="4" s="1"/>
  <c r="T313" i="4" s="1"/>
  <c r="P313" i="4"/>
  <c r="O313" i="4"/>
  <c r="I313" i="4" a="1"/>
  <c r="I313" i="4" s="1"/>
  <c r="H313" i="4"/>
  <c r="F313" i="4"/>
  <c r="G313" i="4" s="1"/>
  <c r="A313" i="4"/>
  <c r="U312" i="4"/>
  <c r="L312" i="4" s="1"/>
  <c r="T312" i="4" s="1"/>
  <c r="P312" i="4"/>
  <c r="O312" i="4"/>
  <c r="I312" i="4" a="1"/>
  <c r="I312" i="4" s="1"/>
  <c r="H312" i="4"/>
  <c r="G312" i="4"/>
  <c r="F312" i="4"/>
  <c r="A312" i="4"/>
  <c r="U311" i="4"/>
  <c r="L311" i="4" s="1"/>
  <c r="T311" i="4" s="1"/>
  <c r="P311" i="4"/>
  <c r="O311" i="4"/>
  <c r="I311" i="4" a="1"/>
  <c r="I311" i="4" s="1"/>
  <c r="H311" i="4"/>
  <c r="F311" i="4"/>
  <c r="G311" i="4" s="1"/>
  <c r="A311" i="4"/>
  <c r="U310" i="4"/>
  <c r="L310" i="4" s="1"/>
  <c r="T310" i="4" s="1"/>
  <c r="P310" i="4"/>
  <c r="O310" i="4"/>
  <c r="I310" i="4" a="1"/>
  <c r="I310" i="4" s="1"/>
  <c r="H310" i="4"/>
  <c r="F310" i="4"/>
  <c r="G310" i="4" s="1"/>
  <c r="A310" i="4"/>
  <c r="U309" i="4"/>
  <c r="L309" i="4" s="1"/>
  <c r="T309" i="4" s="1"/>
  <c r="P309" i="4"/>
  <c r="O309" i="4"/>
  <c r="I309" i="4" a="1"/>
  <c r="I309" i="4" s="1"/>
  <c r="H309" i="4"/>
  <c r="F309" i="4"/>
  <c r="G309" i="4" s="1"/>
  <c r="A309" i="4"/>
  <c r="U308" i="4"/>
  <c r="L308" i="4" s="1"/>
  <c r="T308" i="4" s="1"/>
  <c r="P308" i="4"/>
  <c r="O308" i="4"/>
  <c r="I308" i="4" a="1"/>
  <c r="I308" i="4" s="1"/>
  <c r="H308" i="4"/>
  <c r="F308" i="4"/>
  <c r="G308" i="4" s="1"/>
  <c r="A308" i="4"/>
  <c r="U307" i="4"/>
  <c r="L307" i="4" s="1"/>
  <c r="T307" i="4" s="1"/>
  <c r="P307" i="4"/>
  <c r="O307" i="4"/>
  <c r="I307" i="4" a="1"/>
  <c r="I307" i="4" s="1"/>
  <c r="H307" i="4"/>
  <c r="F307" i="4"/>
  <c r="G307" i="4" s="1"/>
  <c r="A307" i="4"/>
  <c r="U306" i="4"/>
  <c r="L306" i="4" s="1"/>
  <c r="T306" i="4" s="1"/>
  <c r="P306" i="4"/>
  <c r="O306" i="4"/>
  <c r="I306" i="4" a="1"/>
  <c r="I306" i="4" s="1"/>
  <c r="H306" i="4"/>
  <c r="F306" i="4"/>
  <c r="G306" i="4" s="1"/>
  <c r="A306" i="4"/>
  <c r="U305" i="4"/>
  <c r="L305" i="4" s="1"/>
  <c r="T305" i="4" s="1"/>
  <c r="P305" i="4"/>
  <c r="O305" i="4"/>
  <c r="I305" i="4" a="1"/>
  <c r="I305" i="4" s="1"/>
  <c r="H305" i="4"/>
  <c r="F305" i="4"/>
  <c r="G305" i="4" s="1"/>
  <c r="A305" i="4"/>
  <c r="U304" i="4"/>
  <c r="L304" i="4" s="1"/>
  <c r="T304" i="4" s="1"/>
  <c r="P304" i="4"/>
  <c r="O304" i="4"/>
  <c r="I304" i="4" a="1"/>
  <c r="I304" i="4" s="1"/>
  <c r="H304" i="4"/>
  <c r="F304" i="4"/>
  <c r="G304" i="4" s="1"/>
  <c r="A304" i="4"/>
  <c r="U303" i="4"/>
  <c r="L303" i="4" s="1"/>
  <c r="T303" i="4" s="1"/>
  <c r="P303" i="4"/>
  <c r="O303" i="4"/>
  <c r="I303" i="4"/>
  <c r="I303" i="4" a="1"/>
  <c r="H303" i="4"/>
  <c r="F303" i="4"/>
  <c r="G303" i="4" s="1"/>
  <c r="A303" i="4"/>
  <c r="U302" i="4"/>
  <c r="L302" i="4" s="1"/>
  <c r="T302" i="4" s="1"/>
  <c r="P302" i="4"/>
  <c r="O302" i="4"/>
  <c r="I302" i="4" a="1"/>
  <c r="I302" i="4" s="1"/>
  <c r="H302" i="4"/>
  <c r="F302" i="4"/>
  <c r="G302" i="4" s="1"/>
  <c r="A302" i="4"/>
  <c r="U301" i="4"/>
  <c r="L301" i="4" s="1"/>
  <c r="T301" i="4" s="1"/>
  <c r="P301" i="4"/>
  <c r="O301" i="4"/>
  <c r="I301" i="4" a="1"/>
  <c r="I301" i="4" s="1"/>
  <c r="H301" i="4"/>
  <c r="F301" i="4"/>
  <c r="G301" i="4" s="1"/>
  <c r="A301" i="4"/>
  <c r="U300" i="4"/>
  <c r="L300" i="4" s="1"/>
  <c r="T300" i="4" s="1"/>
  <c r="P300" i="4"/>
  <c r="O300" i="4"/>
  <c r="I300" i="4" a="1"/>
  <c r="I300" i="4" s="1"/>
  <c r="H300" i="4"/>
  <c r="F300" i="4"/>
  <c r="G300" i="4" s="1"/>
  <c r="A300" i="4"/>
  <c r="U299" i="4"/>
  <c r="L299" i="4" s="1"/>
  <c r="T299" i="4" s="1"/>
  <c r="P299" i="4"/>
  <c r="O299" i="4"/>
  <c r="I299" i="4" a="1"/>
  <c r="I299" i="4" s="1"/>
  <c r="H299" i="4"/>
  <c r="F299" i="4"/>
  <c r="G299" i="4" s="1"/>
  <c r="A299" i="4"/>
  <c r="U298" i="4"/>
  <c r="L298" i="4" s="1"/>
  <c r="T298" i="4" s="1"/>
  <c r="P298" i="4"/>
  <c r="O298" i="4"/>
  <c r="I298" i="4" a="1"/>
  <c r="I298" i="4" s="1"/>
  <c r="H298" i="4"/>
  <c r="F298" i="4"/>
  <c r="G298" i="4" s="1"/>
  <c r="A298" i="4"/>
  <c r="U297" i="4"/>
  <c r="L297" i="4" s="1"/>
  <c r="T297" i="4" s="1"/>
  <c r="P297" i="4"/>
  <c r="O297" i="4"/>
  <c r="I297" i="4" a="1"/>
  <c r="I297" i="4" s="1"/>
  <c r="H297" i="4"/>
  <c r="F297" i="4"/>
  <c r="G297" i="4" s="1"/>
  <c r="A297" i="4"/>
  <c r="U296" i="4"/>
  <c r="L296" i="4" s="1"/>
  <c r="T296" i="4" s="1"/>
  <c r="P296" i="4"/>
  <c r="O296" i="4"/>
  <c r="I296" i="4" a="1"/>
  <c r="I296" i="4" s="1"/>
  <c r="H296" i="4"/>
  <c r="F296" i="4"/>
  <c r="G296" i="4" s="1"/>
  <c r="A296" i="4"/>
  <c r="U295" i="4"/>
  <c r="L295" i="4" s="1"/>
  <c r="T295" i="4" s="1"/>
  <c r="P295" i="4"/>
  <c r="O295" i="4"/>
  <c r="I295" i="4" a="1"/>
  <c r="I295" i="4" s="1"/>
  <c r="H295" i="4"/>
  <c r="F295" i="4"/>
  <c r="G295" i="4" s="1"/>
  <c r="A295" i="4"/>
  <c r="U294" i="4"/>
  <c r="L294" i="4" s="1"/>
  <c r="T294" i="4" s="1"/>
  <c r="P294" i="4"/>
  <c r="O294" i="4"/>
  <c r="I294" i="4" a="1"/>
  <c r="I294" i="4" s="1"/>
  <c r="H294" i="4"/>
  <c r="F294" i="4"/>
  <c r="G294" i="4" s="1"/>
  <c r="A294" i="4"/>
  <c r="U293" i="4"/>
  <c r="L293" i="4" s="1"/>
  <c r="T293" i="4" s="1"/>
  <c r="P293" i="4"/>
  <c r="O293" i="4"/>
  <c r="I293" i="4" a="1"/>
  <c r="I293" i="4" s="1"/>
  <c r="H293" i="4"/>
  <c r="F293" i="4"/>
  <c r="G293" i="4" s="1"/>
  <c r="A293" i="4"/>
  <c r="U292" i="4"/>
  <c r="L292" i="4" s="1"/>
  <c r="T292" i="4" s="1"/>
  <c r="P292" i="4"/>
  <c r="O292" i="4"/>
  <c r="I292" i="4" a="1"/>
  <c r="I292" i="4" s="1"/>
  <c r="H292" i="4"/>
  <c r="F292" i="4"/>
  <c r="G292" i="4" s="1"/>
  <c r="A292" i="4"/>
  <c r="U291" i="4"/>
  <c r="L291" i="4" s="1"/>
  <c r="T291" i="4" s="1"/>
  <c r="P291" i="4"/>
  <c r="O291" i="4"/>
  <c r="I291" i="4" a="1"/>
  <c r="I291" i="4" s="1"/>
  <c r="H291" i="4"/>
  <c r="F291" i="4"/>
  <c r="G291" i="4" s="1"/>
  <c r="A291" i="4"/>
  <c r="U290" i="4"/>
  <c r="L290" i="4" s="1"/>
  <c r="T290" i="4" s="1"/>
  <c r="P290" i="4"/>
  <c r="O290" i="4"/>
  <c r="I290" i="4" a="1"/>
  <c r="I290" i="4" s="1"/>
  <c r="H290" i="4"/>
  <c r="F290" i="4"/>
  <c r="G290" i="4" s="1"/>
  <c r="A290" i="4"/>
  <c r="U289" i="4"/>
  <c r="L289" i="4" s="1"/>
  <c r="T289" i="4" s="1"/>
  <c r="P289" i="4"/>
  <c r="O289" i="4"/>
  <c r="I289" i="4" a="1"/>
  <c r="I289" i="4" s="1"/>
  <c r="H289" i="4"/>
  <c r="F289" i="4"/>
  <c r="G289" i="4" s="1"/>
  <c r="A289" i="4"/>
  <c r="U288" i="4"/>
  <c r="L288" i="4" s="1"/>
  <c r="T288" i="4" s="1"/>
  <c r="P288" i="4"/>
  <c r="O288" i="4"/>
  <c r="I288" i="4" a="1"/>
  <c r="I288" i="4" s="1"/>
  <c r="H288" i="4"/>
  <c r="F288" i="4"/>
  <c r="G288" i="4" s="1"/>
  <c r="A288" i="4"/>
  <c r="U287" i="4"/>
  <c r="L287" i="4" s="1"/>
  <c r="T287" i="4" s="1"/>
  <c r="P287" i="4"/>
  <c r="O287" i="4"/>
  <c r="I287" i="4" a="1"/>
  <c r="I287" i="4" s="1"/>
  <c r="H287" i="4"/>
  <c r="F287" i="4"/>
  <c r="G287" i="4" s="1"/>
  <c r="A287" i="4"/>
  <c r="U286" i="4"/>
  <c r="L286" i="4" s="1"/>
  <c r="T286" i="4" s="1"/>
  <c r="P286" i="4"/>
  <c r="O286" i="4"/>
  <c r="I286" i="4" a="1"/>
  <c r="I286" i="4" s="1"/>
  <c r="H286" i="4"/>
  <c r="F286" i="4"/>
  <c r="G286" i="4" s="1"/>
  <c r="A286" i="4"/>
  <c r="U285" i="4"/>
  <c r="L285" i="4" s="1"/>
  <c r="T285" i="4" s="1"/>
  <c r="P285" i="4"/>
  <c r="O285" i="4"/>
  <c r="I285" i="4" a="1"/>
  <c r="I285" i="4" s="1"/>
  <c r="H285" i="4"/>
  <c r="F285" i="4"/>
  <c r="G285" i="4" s="1"/>
  <c r="A285" i="4"/>
  <c r="U284" i="4"/>
  <c r="L284" i="4" s="1"/>
  <c r="T284" i="4" s="1"/>
  <c r="P284" i="4"/>
  <c r="O284" i="4"/>
  <c r="I284" i="4" a="1"/>
  <c r="I284" i="4" s="1"/>
  <c r="H284" i="4"/>
  <c r="F284" i="4"/>
  <c r="G284" i="4" s="1"/>
  <c r="A284" i="4"/>
  <c r="U283" i="4"/>
  <c r="L283" i="4" s="1"/>
  <c r="T283" i="4" s="1"/>
  <c r="P283" i="4"/>
  <c r="O283" i="4"/>
  <c r="I283" i="4" a="1"/>
  <c r="I283" i="4" s="1"/>
  <c r="H283" i="4"/>
  <c r="F283" i="4"/>
  <c r="G283" i="4" s="1"/>
  <c r="A283" i="4"/>
  <c r="U282" i="4"/>
  <c r="L282" i="4" s="1"/>
  <c r="T282" i="4" s="1"/>
  <c r="P282" i="4"/>
  <c r="O282" i="4"/>
  <c r="I282" i="4" a="1"/>
  <c r="I282" i="4" s="1"/>
  <c r="H282" i="4"/>
  <c r="F282" i="4"/>
  <c r="G282" i="4" s="1"/>
  <c r="A282" i="4"/>
  <c r="U281" i="4"/>
  <c r="L281" i="4" s="1"/>
  <c r="T281" i="4" s="1"/>
  <c r="P281" i="4"/>
  <c r="O281" i="4"/>
  <c r="I281" i="4" a="1"/>
  <c r="I281" i="4" s="1"/>
  <c r="H281" i="4"/>
  <c r="F281" i="4"/>
  <c r="G281" i="4" s="1"/>
  <c r="A281" i="4"/>
  <c r="U280" i="4"/>
  <c r="L280" i="4" s="1"/>
  <c r="T280" i="4" s="1"/>
  <c r="P280" i="4"/>
  <c r="O280" i="4"/>
  <c r="I280" i="4" a="1"/>
  <c r="I280" i="4" s="1"/>
  <c r="H280" i="4"/>
  <c r="F280" i="4"/>
  <c r="G280" i="4" s="1"/>
  <c r="A280" i="4"/>
  <c r="U279" i="4"/>
  <c r="L279" i="4" s="1"/>
  <c r="T279" i="4" s="1"/>
  <c r="P279" i="4"/>
  <c r="O279" i="4"/>
  <c r="I279" i="4" a="1"/>
  <c r="I279" i="4" s="1"/>
  <c r="H279" i="4"/>
  <c r="F279" i="4"/>
  <c r="G279" i="4" s="1"/>
  <c r="A279" i="4"/>
  <c r="U278" i="4"/>
  <c r="L278" i="4" s="1"/>
  <c r="T278" i="4" s="1"/>
  <c r="P278" i="4"/>
  <c r="O278" i="4"/>
  <c r="I278" i="4" a="1"/>
  <c r="I278" i="4" s="1"/>
  <c r="H278" i="4"/>
  <c r="F278" i="4"/>
  <c r="G278" i="4" s="1"/>
  <c r="A278" i="4"/>
  <c r="U277" i="4"/>
  <c r="L277" i="4" s="1"/>
  <c r="T277" i="4" s="1"/>
  <c r="P277" i="4"/>
  <c r="O277" i="4"/>
  <c r="I277" i="4" a="1"/>
  <c r="I277" i="4" s="1"/>
  <c r="H277" i="4"/>
  <c r="F277" i="4"/>
  <c r="G277" i="4" s="1"/>
  <c r="A277" i="4"/>
  <c r="U276" i="4"/>
  <c r="L276" i="4" s="1"/>
  <c r="T276" i="4" s="1"/>
  <c r="P276" i="4"/>
  <c r="O276" i="4"/>
  <c r="I276" i="4" a="1"/>
  <c r="I276" i="4" s="1"/>
  <c r="H276" i="4"/>
  <c r="F276" i="4"/>
  <c r="G276" i="4" s="1"/>
  <c r="A276" i="4"/>
  <c r="U275" i="4"/>
  <c r="L275" i="4" s="1"/>
  <c r="T275" i="4" s="1"/>
  <c r="P275" i="4"/>
  <c r="O275" i="4"/>
  <c r="I275" i="4" a="1"/>
  <c r="I275" i="4" s="1"/>
  <c r="H275" i="4"/>
  <c r="F275" i="4"/>
  <c r="G275" i="4" s="1"/>
  <c r="A275" i="4"/>
  <c r="U274" i="4"/>
  <c r="L274" i="4" s="1"/>
  <c r="T274" i="4" s="1"/>
  <c r="P274" i="4"/>
  <c r="O274" i="4"/>
  <c r="I274" i="4" a="1"/>
  <c r="I274" i="4" s="1"/>
  <c r="H274" i="4"/>
  <c r="F274" i="4"/>
  <c r="G274" i="4" s="1"/>
  <c r="A274" i="4"/>
  <c r="U273" i="4"/>
  <c r="L273" i="4" s="1"/>
  <c r="T273" i="4" s="1"/>
  <c r="P273" i="4"/>
  <c r="O273" i="4"/>
  <c r="I273" i="4" a="1"/>
  <c r="I273" i="4" s="1"/>
  <c r="H273" i="4"/>
  <c r="F273" i="4"/>
  <c r="G273" i="4" s="1"/>
  <c r="A273" i="4"/>
  <c r="U272" i="4"/>
  <c r="L272" i="4" s="1"/>
  <c r="T272" i="4" s="1"/>
  <c r="P272" i="4"/>
  <c r="O272" i="4"/>
  <c r="I272" i="4" a="1"/>
  <c r="I272" i="4" s="1"/>
  <c r="H272" i="4"/>
  <c r="F272" i="4"/>
  <c r="G272" i="4" s="1"/>
  <c r="A272" i="4"/>
  <c r="U271" i="4"/>
  <c r="L271" i="4" s="1"/>
  <c r="T271" i="4" s="1"/>
  <c r="P271" i="4"/>
  <c r="O271" i="4"/>
  <c r="I271" i="4" a="1"/>
  <c r="I271" i="4" s="1"/>
  <c r="H271" i="4"/>
  <c r="F271" i="4"/>
  <c r="G271" i="4" s="1"/>
  <c r="A271" i="4"/>
  <c r="U270" i="4"/>
  <c r="L270" i="4" s="1"/>
  <c r="T270" i="4" s="1"/>
  <c r="P270" i="4"/>
  <c r="O270" i="4"/>
  <c r="I270" i="4" a="1"/>
  <c r="I270" i="4" s="1"/>
  <c r="H270" i="4"/>
  <c r="F270" i="4"/>
  <c r="G270" i="4" s="1"/>
  <c r="A270" i="4"/>
  <c r="U269" i="4"/>
  <c r="L269" i="4" s="1"/>
  <c r="T269" i="4" s="1"/>
  <c r="P269" i="4"/>
  <c r="O269" i="4"/>
  <c r="I269" i="4" a="1"/>
  <c r="I269" i="4" s="1"/>
  <c r="H269" i="4"/>
  <c r="F269" i="4"/>
  <c r="G269" i="4" s="1"/>
  <c r="A269" i="4"/>
  <c r="U268" i="4"/>
  <c r="L268" i="4" s="1"/>
  <c r="T268" i="4" s="1"/>
  <c r="P268" i="4"/>
  <c r="O268" i="4"/>
  <c r="I268" i="4" a="1"/>
  <c r="I268" i="4" s="1"/>
  <c r="H268" i="4"/>
  <c r="F268" i="4"/>
  <c r="G268" i="4" s="1"/>
  <c r="A268" i="4"/>
  <c r="U267" i="4"/>
  <c r="L267" i="4" s="1"/>
  <c r="T267" i="4" s="1"/>
  <c r="P267" i="4"/>
  <c r="O267" i="4"/>
  <c r="I267" i="4" a="1"/>
  <c r="I267" i="4" s="1"/>
  <c r="H267" i="4"/>
  <c r="F267" i="4"/>
  <c r="G267" i="4" s="1"/>
  <c r="A267" i="4"/>
  <c r="U266" i="4"/>
  <c r="L266" i="4" s="1"/>
  <c r="T266" i="4" s="1"/>
  <c r="P266" i="4"/>
  <c r="O266" i="4"/>
  <c r="I266" i="4" a="1"/>
  <c r="I266" i="4" s="1"/>
  <c r="H266" i="4"/>
  <c r="F266" i="4"/>
  <c r="G266" i="4" s="1"/>
  <c r="A266" i="4"/>
  <c r="U265" i="4"/>
  <c r="L265" i="4" s="1"/>
  <c r="T265" i="4" s="1"/>
  <c r="P265" i="4"/>
  <c r="O265" i="4"/>
  <c r="I265" i="4"/>
  <c r="I265" i="4" a="1"/>
  <c r="H265" i="4"/>
  <c r="F265" i="4"/>
  <c r="G265" i="4" s="1"/>
  <c r="A265" i="4"/>
  <c r="U264" i="4"/>
  <c r="L264" i="4" s="1"/>
  <c r="T264" i="4" s="1"/>
  <c r="P264" i="4"/>
  <c r="O264" i="4"/>
  <c r="I264" i="4" a="1"/>
  <c r="I264" i="4" s="1"/>
  <c r="H264" i="4"/>
  <c r="F264" i="4"/>
  <c r="G264" i="4" s="1"/>
  <c r="A264" i="4"/>
  <c r="U263" i="4"/>
  <c r="L263" i="4" s="1"/>
  <c r="T263" i="4" s="1"/>
  <c r="P263" i="4"/>
  <c r="O263" i="4"/>
  <c r="I263" i="4" a="1"/>
  <c r="I263" i="4" s="1"/>
  <c r="H263" i="4"/>
  <c r="F263" i="4"/>
  <c r="G263" i="4" s="1"/>
  <c r="A263" i="4"/>
  <c r="U262" i="4"/>
  <c r="L262" i="4" s="1"/>
  <c r="T262" i="4" s="1"/>
  <c r="P262" i="4"/>
  <c r="O262" i="4"/>
  <c r="I262" i="4" a="1"/>
  <c r="I262" i="4" s="1"/>
  <c r="H262" i="4"/>
  <c r="F262" i="4"/>
  <c r="G262" i="4" s="1"/>
  <c r="A262" i="4"/>
  <c r="U261" i="4"/>
  <c r="L261" i="4" s="1"/>
  <c r="T261" i="4" s="1"/>
  <c r="P261" i="4"/>
  <c r="O261" i="4"/>
  <c r="I261" i="4" a="1"/>
  <c r="I261" i="4" s="1"/>
  <c r="H261" i="4"/>
  <c r="F261" i="4"/>
  <c r="G261" i="4" s="1"/>
  <c r="A261" i="4"/>
  <c r="U260" i="4"/>
  <c r="L260" i="4" s="1"/>
  <c r="T260" i="4" s="1"/>
  <c r="P260" i="4"/>
  <c r="O260" i="4"/>
  <c r="I260" i="4" a="1"/>
  <c r="I260" i="4" s="1"/>
  <c r="H260" i="4"/>
  <c r="F260" i="4"/>
  <c r="G260" i="4" s="1"/>
  <c r="A260" i="4"/>
  <c r="U259" i="4"/>
  <c r="L259" i="4" s="1"/>
  <c r="T259" i="4" s="1"/>
  <c r="P259" i="4"/>
  <c r="O259" i="4"/>
  <c r="I259" i="4" a="1"/>
  <c r="I259" i="4" s="1"/>
  <c r="H259" i="4"/>
  <c r="F259" i="4"/>
  <c r="G259" i="4" s="1"/>
  <c r="A259" i="4"/>
  <c r="U258" i="4"/>
  <c r="P258" i="4"/>
  <c r="O258" i="4"/>
  <c r="L258" i="4"/>
  <c r="T258" i="4" s="1"/>
  <c r="I258" i="4" a="1"/>
  <c r="I258" i="4" s="1"/>
  <c r="H258" i="4"/>
  <c r="F258" i="4"/>
  <c r="G258" i="4" s="1"/>
  <c r="A258" i="4"/>
  <c r="U257" i="4"/>
  <c r="L257" i="4" s="1"/>
  <c r="T257" i="4" s="1"/>
  <c r="P257" i="4"/>
  <c r="O257" i="4"/>
  <c r="I257" i="4" a="1"/>
  <c r="I257" i="4" s="1"/>
  <c r="H257" i="4"/>
  <c r="F257" i="4"/>
  <c r="G257" i="4" s="1"/>
  <c r="A257" i="4"/>
  <c r="U256" i="4"/>
  <c r="L256" i="4" s="1"/>
  <c r="T256" i="4" s="1"/>
  <c r="P256" i="4"/>
  <c r="O256" i="4"/>
  <c r="I256" i="4" a="1"/>
  <c r="I256" i="4" s="1"/>
  <c r="H256" i="4"/>
  <c r="F256" i="4"/>
  <c r="G256" i="4" s="1"/>
  <c r="A256" i="4"/>
  <c r="U255" i="4"/>
  <c r="L255" i="4" s="1"/>
  <c r="T255" i="4" s="1"/>
  <c r="P255" i="4"/>
  <c r="O255" i="4"/>
  <c r="I255" i="4" a="1"/>
  <c r="I255" i="4" s="1"/>
  <c r="H255" i="4"/>
  <c r="F255" i="4"/>
  <c r="G255" i="4" s="1"/>
  <c r="A255" i="4"/>
  <c r="U254" i="4"/>
  <c r="L254" i="4" s="1"/>
  <c r="T254" i="4" s="1"/>
  <c r="P254" i="4"/>
  <c r="O254" i="4"/>
  <c r="I254" i="4" a="1"/>
  <c r="I254" i="4" s="1"/>
  <c r="H254" i="4"/>
  <c r="F254" i="4"/>
  <c r="G254" i="4" s="1"/>
  <c r="A254" i="4"/>
  <c r="U253" i="4"/>
  <c r="L253" i="4" s="1"/>
  <c r="T253" i="4" s="1"/>
  <c r="P253" i="4"/>
  <c r="O253" i="4"/>
  <c r="I253" i="4" a="1"/>
  <c r="I253" i="4" s="1"/>
  <c r="H253" i="4"/>
  <c r="F253" i="4"/>
  <c r="G253" i="4" s="1"/>
  <c r="A253" i="4"/>
  <c r="U252" i="4"/>
  <c r="L252" i="4" s="1"/>
  <c r="T252" i="4" s="1"/>
  <c r="P252" i="4"/>
  <c r="O252" i="4"/>
  <c r="I252" i="4" a="1"/>
  <c r="I252" i="4" s="1"/>
  <c r="H252" i="4"/>
  <c r="F252" i="4"/>
  <c r="G252" i="4" s="1"/>
  <c r="A252" i="4"/>
  <c r="U251" i="4"/>
  <c r="L251" i="4" s="1"/>
  <c r="T251" i="4" s="1"/>
  <c r="P251" i="4"/>
  <c r="O251" i="4"/>
  <c r="I251" i="4" a="1"/>
  <c r="I251" i="4" s="1"/>
  <c r="H251" i="4"/>
  <c r="F251" i="4"/>
  <c r="G251" i="4" s="1"/>
  <c r="A251" i="4"/>
  <c r="U250" i="4"/>
  <c r="P250" i="4"/>
  <c r="O250" i="4"/>
  <c r="L250" i="4"/>
  <c r="T250" i="4" s="1"/>
  <c r="I250" i="4" a="1"/>
  <c r="I250" i="4" s="1"/>
  <c r="H250" i="4"/>
  <c r="F250" i="4"/>
  <c r="G250" i="4" s="1"/>
  <c r="A250" i="4"/>
  <c r="U249" i="4"/>
  <c r="L249" i="4" s="1"/>
  <c r="T249" i="4" s="1"/>
  <c r="P249" i="4"/>
  <c r="O249" i="4"/>
  <c r="I249" i="4" a="1"/>
  <c r="I249" i="4" s="1"/>
  <c r="H249" i="4"/>
  <c r="F249" i="4"/>
  <c r="G249" i="4" s="1"/>
  <c r="A249" i="4"/>
  <c r="U248" i="4"/>
  <c r="L248" i="4" s="1"/>
  <c r="T248" i="4" s="1"/>
  <c r="P248" i="4"/>
  <c r="O248" i="4"/>
  <c r="I248" i="4" a="1"/>
  <c r="I248" i="4" s="1"/>
  <c r="H248" i="4"/>
  <c r="F248" i="4"/>
  <c r="G248" i="4" s="1"/>
  <c r="A248" i="4"/>
  <c r="U247" i="4"/>
  <c r="L247" i="4" s="1"/>
  <c r="T247" i="4" s="1"/>
  <c r="P247" i="4"/>
  <c r="O247" i="4"/>
  <c r="I247" i="4" a="1"/>
  <c r="I247" i="4" s="1"/>
  <c r="H247" i="4"/>
  <c r="F247" i="4"/>
  <c r="G247" i="4" s="1"/>
  <c r="A247" i="4"/>
  <c r="U246" i="4"/>
  <c r="L246" i="4" s="1"/>
  <c r="T246" i="4" s="1"/>
  <c r="P246" i="4"/>
  <c r="O246" i="4"/>
  <c r="I246" i="4" a="1"/>
  <c r="I246" i="4" s="1"/>
  <c r="H246" i="4"/>
  <c r="F246" i="4"/>
  <c r="G246" i="4" s="1"/>
  <c r="A246" i="4"/>
  <c r="U245" i="4"/>
  <c r="L245" i="4" s="1"/>
  <c r="T245" i="4" s="1"/>
  <c r="P245" i="4"/>
  <c r="O245" i="4"/>
  <c r="I245" i="4" a="1"/>
  <c r="I245" i="4" s="1"/>
  <c r="H245" i="4"/>
  <c r="F245" i="4"/>
  <c r="G245" i="4" s="1"/>
  <c r="A245" i="4"/>
  <c r="U244" i="4"/>
  <c r="L244" i="4" s="1"/>
  <c r="T244" i="4" s="1"/>
  <c r="P244" i="4"/>
  <c r="O244" i="4"/>
  <c r="I244" i="4" a="1"/>
  <c r="I244" i="4" s="1"/>
  <c r="H244" i="4"/>
  <c r="F244" i="4"/>
  <c r="G244" i="4" s="1"/>
  <c r="A244" i="4"/>
  <c r="U243" i="4"/>
  <c r="L243" i="4" s="1"/>
  <c r="T243" i="4" s="1"/>
  <c r="P243" i="4"/>
  <c r="O243" i="4"/>
  <c r="I243" i="4" a="1"/>
  <c r="I243" i="4" s="1"/>
  <c r="H243" i="4"/>
  <c r="F243" i="4"/>
  <c r="G243" i="4" s="1"/>
  <c r="A243" i="4"/>
  <c r="U242" i="4"/>
  <c r="L242" i="4" s="1"/>
  <c r="T242" i="4" s="1"/>
  <c r="P242" i="4"/>
  <c r="O242" i="4"/>
  <c r="I242" i="4" a="1"/>
  <c r="I242" i="4" s="1"/>
  <c r="H242" i="4"/>
  <c r="F242" i="4"/>
  <c r="G242" i="4" s="1"/>
  <c r="A242" i="4"/>
  <c r="U241" i="4"/>
  <c r="L241" i="4" s="1"/>
  <c r="T241" i="4" s="1"/>
  <c r="P241" i="4"/>
  <c r="O241" i="4"/>
  <c r="I241" i="4" a="1"/>
  <c r="I241" i="4" s="1"/>
  <c r="H241" i="4"/>
  <c r="F241" i="4"/>
  <c r="G241" i="4" s="1"/>
  <c r="A241" i="4"/>
  <c r="U240" i="4"/>
  <c r="L240" i="4" s="1"/>
  <c r="T240" i="4" s="1"/>
  <c r="P240" i="4"/>
  <c r="O240" i="4"/>
  <c r="I240" i="4" a="1"/>
  <c r="I240" i="4" s="1"/>
  <c r="H240" i="4"/>
  <c r="F240" i="4"/>
  <c r="G240" i="4" s="1"/>
  <c r="A240" i="4"/>
  <c r="U239" i="4"/>
  <c r="L239" i="4" s="1"/>
  <c r="T239" i="4" s="1"/>
  <c r="P239" i="4"/>
  <c r="O239" i="4"/>
  <c r="I239" i="4" a="1"/>
  <c r="I239" i="4" s="1"/>
  <c r="H239" i="4"/>
  <c r="F239" i="4"/>
  <c r="G239" i="4" s="1"/>
  <c r="A239" i="4"/>
  <c r="U238" i="4"/>
  <c r="P238" i="4"/>
  <c r="O238" i="4"/>
  <c r="L238" i="4"/>
  <c r="T238" i="4" s="1"/>
  <c r="I238" i="4" a="1"/>
  <c r="I238" i="4" s="1"/>
  <c r="H238" i="4"/>
  <c r="F238" i="4"/>
  <c r="G238" i="4" s="1"/>
  <c r="A238" i="4"/>
  <c r="U237" i="4"/>
  <c r="L237" i="4" s="1"/>
  <c r="T237" i="4" s="1"/>
  <c r="P237" i="4"/>
  <c r="O237" i="4"/>
  <c r="I237" i="4" a="1"/>
  <c r="I237" i="4" s="1"/>
  <c r="H237" i="4"/>
  <c r="F237" i="4"/>
  <c r="G237" i="4" s="1"/>
  <c r="A237" i="4"/>
  <c r="U236" i="4"/>
  <c r="L236" i="4" s="1"/>
  <c r="T236" i="4" s="1"/>
  <c r="P236" i="4"/>
  <c r="O236" i="4"/>
  <c r="I236" i="4" a="1"/>
  <c r="I236" i="4" s="1"/>
  <c r="H236" i="4"/>
  <c r="F236" i="4"/>
  <c r="G236" i="4" s="1"/>
  <c r="A236" i="4"/>
  <c r="U235" i="4"/>
  <c r="L235" i="4" s="1"/>
  <c r="T235" i="4" s="1"/>
  <c r="P235" i="4"/>
  <c r="O235" i="4"/>
  <c r="I235" i="4" a="1"/>
  <c r="I235" i="4" s="1"/>
  <c r="H235" i="4"/>
  <c r="F235" i="4"/>
  <c r="G235" i="4" s="1"/>
  <c r="A235" i="4"/>
  <c r="U234" i="4"/>
  <c r="L234" i="4" s="1"/>
  <c r="T234" i="4" s="1"/>
  <c r="P234" i="4"/>
  <c r="O234" i="4"/>
  <c r="I234" i="4" a="1"/>
  <c r="I234" i="4" s="1"/>
  <c r="H234" i="4"/>
  <c r="F234" i="4"/>
  <c r="G234" i="4" s="1"/>
  <c r="A234" i="4"/>
  <c r="U233" i="4"/>
  <c r="L233" i="4" s="1"/>
  <c r="T233" i="4" s="1"/>
  <c r="P233" i="4"/>
  <c r="O233" i="4"/>
  <c r="I233" i="4" a="1"/>
  <c r="I233" i="4" s="1"/>
  <c r="H233" i="4"/>
  <c r="F233" i="4"/>
  <c r="G233" i="4" s="1"/>
  <c r="A233" i="4"/>
  <c r="U232" i="4"/>
  <c r="L232" i="4" s="1"/>
  <c r="T232" i="4" s="1"/>
  <c r="P232" i="4"/>
  <c r="O232" i="4"/>
  <c r="I232" i="4"/>
  <c r="I232" i="4" a="1"/>
  <c r="H232" i="4"/>
  <c r="F232" i="4"/>
  <c r="G232" i="4" s="1"/>
  <c r="A232" i="4"/>
  <c r="U231" i="4"/>
  <c r="L231" i="4" s="1"/>
  <c r="T231" i="4" s="1"/>
  <c r="P231" i="4"/>
  <c r="O231" i="4"/>
  <c r="I231" i="4" a="1"/>
  <c r="I231" i="4" s="1"/>
  <c r="H231" i="4"/>
  <c r="F231" i="4"/>
  <c r="G231" i="4" s="1"/>
  <c r="A231" i="4"/>
  <c r="U230" i="4"/>
  <c r="L230" i="4" s="1"/>
  <c r="T230" i="4" s="1"/>
  <c r="P230" i="4"/>
  <c r="O230" i="4"/>
  <c r="I230" i="4" a="1"/>
  <c r="I230" i="4" s="1"/>
  <c r="H230" i="4"/>
  <c r="F230" i="4"/>
  <c r="G230" i="4" s="1"/>
  <c r="A230" i="4"/>
  <c r="U229" i="4"/>
  <c r="L229" i="4" s="1"/>
  <c r="T229" i="4" s="1"/>
  <c r="P229" i="4"/>
  <c r="O229" i="4"/>
  <c r="I229" i="4"/>
  <c r="I229" i="4" a="1"/>
  <c r="H229" i="4"/>
  <c r="F229" i="4"/>
  <c r="G229" i="4" s="1"/>
  <c r="A229" i="4"/>
  <c r="U228" i="4"/>
  <c r="L228" i="4" s="1"/>
  <c r="T228" i="4" s="1"/>
  <c r="P228" i="4"/>
  <c r="O228" i="4"/>
  <c r="I228" i="4" a="1"/>
  <c r="I228" i="4" s="1"/>
  <c r="H228" i="4"/>
  <c r="F228" i="4"/>
  <c r="G228" i="4" s="1"/>
  <c r="A228" i="4"/>
  <c r="U227" i="4"/>
  <c r="L227" i="4" s="1"/>
  <c r="T227" i="4" s="1"/>
  <c r="P227" i="4"/>
  <c r="O227" i="4"/>
  <c r="I227" i="4" a="1"/>
  <c r="I227" i="4" s="1"/>
  <c r="H227" i="4"/>
  <c r="F227" i="4"/>
  <c r="G227" i="4" s="1"/>
  <c r="A227" i="4"/>
  <c r="U226" i="4"/>
  <c r="L226" i="4" s="1"/>
  <c r="T226" i="4" s="1"/>
  <c r="P226" i="4"/>
  <c r="O226" i="4"/>
  <c r="I226" i="4" a="1"/>
  <c r="I226" i="4" s="1"/>
  <c r="H226" i="4"/>
  <c r="F226" i="4"/>
  <c r="G226" i="4" s="1"/>
  <c r="A226" i="4"/>
  <c r="U225" i="4"/>
  <c r="L225" i="4" s="1"/>
  <c r="T225" i="4" s="1"/>
  <c r="P225" i="4"/>
  <c r="O225" i="4"/>
  <c r="I225" i="4" a="1"/>
  <c r="I225" i="4" s="1"/>
  <c r="H225" i="4"/>
  <c r="F225" i="4"/>
  <c r="G225" i="4" s="1"/>
  <c r="A225" i="4"/>
  <c r="U224" i="4"/>
  <c r="L224" i="4" s="1"/>
  <c r="T224" i="4" s="1"/>
  <c r="P224" i="4"/>
  <c r="O224" i="4"/>
  <c r="I224" i="4"/>
  <c r="I224" i="4" a="1"/>
  <c r="H224" i="4"/>
  <c r="F224" i="4"/>
  <c r="G224" i="4" s="1"/>
  <c r="A224" i="4"/>
  <c r="U223" i="4"/>
  <c r="L223" i="4" s="1"/>
  <c r="T223" i="4" s="1"/>
  <c r="P223" i="4"/>
  <c r="O223" i="4"/>
  <c r="I223" i="4" a="1"/>
  <c r="I223" i="4" s="1"/>
  <c r="H223" i="4"/>
  <c r="F223" i="4"/>
  <c r="G223" i="4" s="1"/>
  <c r="A223" i="4"/>
  <c r="U222" i="4"/>
  <c r="P222" i="4"/>
  <c r="O222" i="4"/>
  <c r="L222" i="4"/>
  <c r="T222" i="4" s="1"/>
  <c r="I222" i="4" a="1"/>
  <c r="I222" i="4" s="1"/>
  <c r="H222" i="4"/>
  <c r="F222" i="4"/>
  <c r="G222" i="4" s="1"/>
  <c r="A222" i="4"/>
  <c r="U221" i="4"/>
  <c r="L221" i="4" s="1"/>
  <c r="T221" i="4" s="1"/>
  <c r="P221" i="4"/>
  <c r="O221" i="4"/>
  <c r="I221" i="4" a="1"/>
  <c r="I221" i="4" s="1"/>
  <c r="H221" i="4"/>
  <c r="F221" i="4"/>
  <c r="G221" i="4" s="1"/>
  <c r="A221" i="4"/>
  <c r="U220" i="4"/>
  <c r="L220" i="4" s="1"/>
  <c r="T220" i="4" s="1"/>
  <c r="P220" i="4"/>
  <c r="O220" i="4"/>
  <c r="I220" i="4" a="1"/>
  <c r="I220" i="4" s="1"/>
  <c r="H220" i="4"/>
  <c r="F220" i="4"/>
  <c r="G220" i="4" s="1"/>
  <c r="A220" i="4"/>
  <c r="U219" i="4"/>
  <c r="L219" i="4" s="1"/>
  <c r="T219" i="4" s="1"/>
  <c r="P219" i="4"/>
  <c r="O219" i="4"/>
  <c r="I219" i="4" a="1"/>
  <c r="I219" i="4" s="1"/>
  <c r="H219" i="4"/>
  <c r="F219" i="4"/>
  <c r="G219" i="4" s="1"/>
  <c r="A219" i="4"/>
  <c r="U218" i="4"/>
  <c r="L218" i="4" s="1"/>
  <c r="T218" i="4" s="1"/>
  <c r="P218" i="4"/>
  <c r="O218" i="4"/>
  <c r="I218" i="4" a="1"/>
  <c r="I218" i="4" s="1"/>
  <c r="H218" i="4"/>
  <c r="F218" i="4"/>
  <c r="G218" i="4" s="1"/>
  <c r="A218" i="4"/>
  <c r="U217" i="4"/>
  <c r="L217" i="4" s="1"/>
  <c r="T217" i="4" s="1"/>
  <c r="P217" i="4"/>
  <c r="O217" i="4"/>
  <c r="I217" i="4" a="1"/>
  <c r="I217" i="4" s="1"/>
  <c r="H217" i="4"/>
  <c r="F217" i="4"/>
  <c r="G217" i="4" s="1"/>
  <c r="A217" i="4"/>
  <c r="U216" i="4"/>
  <c r="L216" i="4" s="1"/>
  <c r="T216" i="4" s="1"/>
  <c r="P216" i="4"/>
  <c r="O216" i="4"/>
  <c r="I216" i="4" a="1"/>
  <c r="I216" i="4" s="1"/>
  <c r="H216" i="4"/>
  <c r="F216" i="4"/>
  <c r="G216" i="4" s="1"/>
  <c r="A216" i="4"/>
  <c r="U215" i="4"/>
  <c r="L215" i="4" s="1"/>
  <c r="T215" i="4" s="1"/>
  <c r="P215" i="4"/>
  <c r="O215" i="4"/>
  <c r="I215" i="4" a="1"/>
  <c r="I215" i="4" s="1"/>
  <c r="H215" i="4"/>
  <c r="F215" i="4"/>
  <c r="G215" i="4" s="1"/>
  <c r="A215" i="4"/>
  <c r="U214" i="4"/>
  <c r="L214" i="4" s="1"/>
  <c r="T214" i="4" s="1"/>
  <c r="P214" i="4"/>
  <c r="O214" i="4"/>
  <c r="I214" i="4" a="1"/>
  <c r="I214" i="4" s="1"/>
  <c r="H214" i="4"/>
  <c r="F214" i="4"/>
  <c r="G214" i="4" s="1"/>
  <c r="A214" i="4"/>
  <c r="U213" i="4"/>
  <c r="L213" i="4" s="1"/>
  <c r="T213" i="4" s="1"/>
  <c r="P213" i="4"/>
  <c r="O213" i="4"/>
  <c r="I213" i="4" a="1"/>
  <c r="I213" i="4" s="1"/>
  <c r="H213" i="4"/>
  <c r="F213" i="4"/>
  <c r="G213" i="4" s="1"/>
  <c r="A213" i="4"/>
  <c r="U212" i="4"/>
  <c r="L212" i="4" s="1"/>
  <c r="T212" i="4" s="1"/>
  <c r="P212" i="4"/>
  <c r="O212" i="4"/>
  <c r="I212" i="4" a="1"/>
  <c r="I212" i="4" s="1"/>
  <c r="H212" i="4"/>
  <c r="F212" i="4"/>
  <c r="G212" i="4" s="1"/>
  <c r="A212" i="4"/>
  <c r="U211" i="4"/>
  <c r="L211" i="4" s="1"/>
  <c r="T211" i="4" s="1"/>
  <c r="P211" i="4"/>
  <c r="O211" i="4"/>
  <c r="I211" i="4" a="1"/>
  <c r="I211" i="4" s="1"/>
  <c r="H211" i="4"/>
  <c r="F211" i="4"/>
  <c r="G211" i="4" s="1"/>
  <c r="A211" i="4"/>
  <c r="U210" i="4"/>
  <c r="L210" i="4" s="1"/>
  <c r="T210" i="4" s="1"/>
  <c r="P210" i="4"/>
  <c r="O210" i="4"/>
  <c r="I210" i="4" a="1"/>
  <c r="I210" i="4" s="1"/>
  <c r="H210" i="4"/>
  <c r="F210" i="4"/>
  <c r="G210" i="4" s="1"/>
  <c r="A210" i="4"/>
  <c r="U209" i="4"/>
  <c r="P209" i="4"/>
  <c r="O209" i="4"/>
  <c r="L209" i="4"/>
  <c r="T209" i="4" s="1"/>
  <c r="I209" i="4" a="1"/>
  <c r="I209" i="4" s="1"/>
  <c r="H209" i="4"/>
  <c r="F209" i="4"/>
  <c r="G209" i="4" s="1"/>
  <c r="A209" i="4"/>
  <c r="U208" i="4"/>
  <c r="P208" i="4"/>
  <c r="O208" i="4"/>
  <c r="L208" i="4"/>
  <c r="T208" i="4" s="1"/>
  <c r="I208" i="4" a="1"/>
  <c r="I208" i="4" s="1"/>
  <c r="H208" i="4"/>
  <c r="F208" i="4"/>
  <c r="G208" i="4" s="1"/>
  <c r="A208" i="4"/>
  <c r="U207" i="4"/>
  <c r="L207" i="4" s="1"/>
  <c r="T207" i="4" s="1"/>
  <c r="P207" i="4"/>
  <c r="O207" i="4"/>
  <c r="I207" i="4" a="1"/>
  <c r="I207" i="4" s="1"/>
  <c r="H207" i="4"/>
  <c r="F207" i="4"/>
  <c r="G207" i="4" s="1"/>
  <c r="A207" i="4"/>
  <c r="U206" i="4"/>
  <c r="L206" i="4" s="1"/>
  <c r="T206" i="4" s="1"/>
  <c r="P206" i="4"/>
  <c r="O206" i="4"/>
  <c r="I206" i="4" a="1"/>
  <c r="I206" i="4" s="1"/>
  <c r="H206" i="4"/>
  <c r="F206" i="4"/>
  <c r="G206" i="4" s="1"/>
  <c r="A206" i="4"/>
  <c r="U205" i="4"/>
  <c r="L205" i="4" s="1"/>
  <c r="T205" i="4" s="1"/>
  <c r="P205" i="4"/>
  <c r="O205" i="4"/>
  <c r="I205" i="4" a="1"/>
  <c r="I205" i="4" s="1"/>
  <c r="H205" i="4"/>
  <c r="F205" i="4"/>
  <c r="G205" i="4" s="1"/>
  <c r="A205" i="4"/>
  <c r="U204" i="4"/>
  <c r="L204" i="4" s="1"/>
  <c r="T204" i="4" s="1"/>
  <c r="P204" i="4"/>
  <c r="O204" i="4"/>
  <c r="I204" i="4" a="1"/>
  <c r="I204" i="4" s="1"/>
  <c r="H204" i="4"/>
  <c r="F204" i="4"/>
  <c r="G204" i="4" s="1"/>
  <c r="A204" i="4"/>
  <c r="U203" i="4"/>
  <c r="L203" i="4" s="1"/>
  <c r="T203" i="4" s="1"/>
  <c r="P203" i="4"/>
  <c r="O203" i="4"/>
  <c r="I203" i="4" a="1"/>
  <c r="I203" i="4" s="1"/>
  <c r="H203" i="4"/>
  <c r="F203" i="4"/>
  <c r="G203" i="4" s="1"/>
  <c r="A203" i="4"/>
  <c r="U202" i="4"/>
  <c r="L202" i="4" s="1"/>
  <c r="T202" i="4" s="1"/>
  <c r="P202" i="4"/>
  <c r="O202" i="4"/>
  <c r="I202" i="4" a="1"/>
  <c r="I202" i="4" s="1"/>
  <c r="H202" i="4"/>
  <c r="F202" i="4"/>
  <c r="G202" i="4" s="1"/>
  <c r="A202" i="4"/>
  <c r="U201" i="4"/>
  <c r="L201" i="4" s="1"/>
  <c r="T201" i="4" s="1"/>
  <c r="P201" i="4"/>
  <c r="O201" i="4"/>
  <c r="I201" i="4" a="1"/>
  <c r="I201" i="4" s="1"/>
  <c r="H201" i="4"/>
  <c r="F201" i="4"/>
  <c r="G201" i="4" s="1"/>
  <c r="A201" i="4"/>
  <c r="U200" i="4"/>
  <c r="L200" i="4" s="1"/>
  <c r="T200" i="4" s="1"/>
  <c r="P200" i="4"/>
  <c r="O200" i="4"/>
  <c r="I200" i="4" a="1"/>
  <c r="I200" i="4" s="1"/>
  <c r="H200" i="4"/>
  <c r="F200" i="4"/>
  <c r="G200" i="4" s="1"/>
  <c r="A200" i="4"/>
  <c r="U199" i="4"/>
  <c r="L199" i="4" s="1"/>
  <c r="T199" i="4" s="1"/>
  <c r="P199" i="4"/>
  <c r="O199" i="4"/>
  <c r="I199" i="4" a="1"/>
  <c r="I199" i="4" s="1"/>
  <c r="H199" i="4"/>
  <c r="F199" i="4"/>
  <c r="G199" i="4" s="1"/>
  <c r="A199" i="4"/>
  <c r="U198" i="4"/>
  <c r="L198" i="4" s="1"/>
  <c r="T198" i="4" s="1"/>
  <c r="P198" i="4"/>
  <c r="O198" i="4"/>
  <c r="I198" i="4" a="1"/>
  <c r="I198" i="4" s="1"/>
  <c r="H198" i="4"/>
  <c r="F198" i="4"/>
  <c r="G198" i="4" s="1"/>
  <c r="A198" i="4"/>
  <c r="U197" i="4"/>
  <c r="L197" i="4" s="1"/>
  <c r="T197" i="4" s="1"/>
  <c r="P197" i="4"/>
  <c r="O197" i="4"/>
  <c r="I197" i="4" a="1"/>
  <c r="I197" i="4" s="1"/>
  <c r="H197" i="4"/>
  <c r="F197" i="4"/>
  <c r="G197" i="4" s="1"/>
  <c r="A197" i="4"/>
  <c r="U196" i="4"/>
  <c r="L196" i="4" s="1"/>
  <c r="T196" i="4" s="1"/>
  <c r="P196" i="4"/>
  <c r="O196" i="4"/>
  <c r="I196" i="4" a="1"/>
  <c r="I196" i="4" s="1"/>
  <c r="H196" i="4"/>
  <c r="F196" i="4"/>
  <c r="G196" i="4" s="1"/>
  <c r="A196" i="4"/>
  <c r="U195" i="4"/>
  <c r="L195" i="4" s="1"/>
  <c r="T195" i="4" s="1"/>
  <c r="P195" i="4"/>
  <c r="O195" i="4"/>
  <c r="I195" i="4" a="1"/>
  <c r="I195" i="4" s="1"/>
  <c r="H195" i="4"/>
  <c r="F195" i="4"/>
  <c r="G195" i="4" s="1"/>
  <c r="A195" i="4"/>
  <c r="U194" i="4"/>
  <c r="L194" i="4" s="1"/>
  <c r="T194" i="4" s="1"/>
  <c r="P194" i="4"/>
  <c r="O194" i="4"/>
  <c r="I194" i="4" a="1"/>
  <c r="I194" i="4" s="1"/>
  <c r="H194" i="4"/>
  <c r="F194" i="4"/>
  <c r="G194" i="4" s="1"/>
  <c r="A194" i="4"/>
  <c r="U193" i="4"/>
  <c r="L193" i="4" s="1"/>
  <c r="T193" i="4" s="1"/>
  <c r="P193" i="4"/>
  <c r="O193" i="4"/>
  <c r="I193" i="4" a="1"/>
  <c r="I193" i="4" s="1"/>
  <c r="H193" i="4"/>
  <c r="F193" i="4"/>
  <c r="G193" i="4" s="1"/>
  <c r="A193" i="4"/>
  <c r="U192" i="4"/>
  <c r="L192" i="4" s="1"/>
  <c r="T192" i="4" s="1"/>
  <c r="P192" i="4"/>
  <c r="O192" i="4"/>
  <c r="I192" i="4" a="1"/>
  <c r="I192" i="4" s="1"/>
  <c r="H192" i="4"/>
  <c r="F192" i="4"/>
  <c r="G192" i="4" s="1"/>
  <c r="A192" i="4"/>
  <c r="U191" i="4"/>
  <c r="L191" i="4" s="1"/>
  <c r="T191" i="4" s="1"/>
  <c r="P191" i="4"/>
  <c r="O191" i="4"/>
  <c r="I191" i="4" a="1"/>
  <c r="I191" i="4" s="1"/>
  <c r="H191" i="4"/>
  <c r="F191" i="4"/>
  <c r="G191" i="4" s="1"/>
  <c r="A191" i="4"/>
  <c r="U190" i="4"/>
  <c r="L190" i="4" s="1"/>
  <c r="T190" i="4" s="1"/>
  <c r="P190" i="4"/>
  <c r="O190" i="4"/>
  <c r="I190" i="4" a="1"/>
  <c r="I190" i="4" s="1"/>
  <c r="H190" i="4"/>
  <c r="F190" i="4"/>
  <c r="G190" i="4" s="1"/>
  <c r="A190" i="4"/>
  <c r="U189" i="4"/>
  <c r="L189" i="4" s="1"/>
  <c r="T189" i="4" s="1"/>
  <c r="P189" i="4"/>
  <c r="O189" i="4"/>
  <c r="I189" i="4" a="1"/>
  <c r="I189" i="4" s="1"/>
  <c r="H189" i="4"/>
  <c r="F189" i="4"/>
  <c r="G189" i="4" s="1"/>
  <c r="A189" i="4"/>
  <c r="U188" i="4"/>
  <c r="L188" i="4" s="1"/>
  <c r="T188" i="4" s="1"/>
  <c r="P188" i="4"/>
  <c r="O188" i="4"/>
  <c r="I188" i="4" a="1"/>
  <c r="I188" i="4" s="1"/>
  <c r="H188" i="4"/>
  <c r="F188" i="4"/>
  <c r="G188" i="4" s="1"/>
  <c r="A188" i="4"/>
  <c r="U187" i="4"/>
  <c r="L187" i="4" s="1"/>
  <c r="T187" i="4" s="1"/>
  <c r="P187" i="4"/>
  <c r="O187" i="4"/>
  <c r="I187" i="4" a="1"/>
  <c r="I187" i="4" s="1"/>
  <c r="H187" i="4"/>
  <c r="F187" i="4"/>
  <c r="G187" i="4" s="1"/>
  <c r="A187" i="4"/>
  <c r="U186" i="4"/>
  <c r="L186" i="4" s="1"/>
  <c r="T186" i="4" s="1"/>
  <c r="P186" i="4"/>
  <c r="O186" i="4"/>
  <c r="I186" i="4" a="1"/>
  <c r="I186" i="4" s="1"/>
  <c r="H186" i="4"/>
  <c r="F186" i="4"/>
  <c r="G186" i="4" s="1"/>
  <c r="A186" i="4"/>
  <c r="U185" i="4"/>
  <c r="L185" i="4" s="1"/>
  <c r="T185" i="4" s="1"/>
  <c r="P185" i="4"/>
  <c r="O185" i="4"/>
  <c r="I185" i="4" a="1"/>
  <c r="I185" i="4" s="1"/>
  <c r="H185" i="4"/>
  <c r="F185" i="4"/>
  <c r="G185" i="4" s="1"/>
  <c r="A185" i="4"/>
  <c r="U184" i="4"/>
  <c r="L184" i="4" s="1"/>
  <c r="T184" i="4" s="1"/>
  <c r="P184" i="4"/>
  <c r="O184" i="4"/>
  <c r="I184" i="4" a="1"/>
  <c r="I184" i="4" s="1"/>
  <c r="H184" i="4"/>
  <c r="F184" i="4"/>
  <c r="G184" i="4" s="1"/>
  <c r="A184" i="4"/>
  <c r="U183" i="4"/>
  <c r="L183" i="4" s="1"/>
  <c r="T183" i="4" s="1"/>
  <c r="P183" i="4"/>
  <c r="O183" i="4"/>
  <c r="I183" i="4" a="1"/>
  <c r="I183" i="4" s="1"/>
  <c r="H183" i="4"/>
  <c r="F183" i="4"/>
  <c r="G183" i="4" s="1"/>
  <c r="A183" i="4"/>
  <c r="U182" i="4"/>
  <c r="P182" i="4"/>
  <c r="O182" i="4"/>
  <c r="L182" i="4"/>
  <c r="T182" i="4" s="1"/>
  <c r="I182" i="4" a="1"/>
  <c r="I182" i="4" s="1"/>
  <c r="H182" i="4"/>
  <c r="F182" i="4"/>
  <c r="G182" i="4" s="1"/>
  <c r="A182" i="4"/>
  <c r="U181" i="4"/>
  <c r="P181" i="4"/>
  <c r="O181" i="4"/>
  <c r="L181" i="4"/>
  <c r="T181" i="4" s="1"/>
  <c r="I181" i="4" a="1"/>
  <c r="I181" i="4" s="1"/>
  <c r="H181" i="4"/>
  <c r="F181" i="4"/>
  <c r="G181" i="4" s="1"/>
  <c r="A181" i="4"/>
  <c r="U180" i="4"/>
  <c r="L180" i="4" s="1"/>
  <c r="T180" i="4" s="1"/>
  <c r="P180" i="4"/>
  <c r="O180" i="4"/>
  <c r="I180" i="4" a="1"/>
  <c r="I180" i="4" s="1"/>
  <c r="H180" i="4"/>
  <c r="F180" i="4"/>
  <c r="G180" i="4" s="1"/>
  <c r="A180" i="4"/>
  <c r="U179" i="4"/>
  <c r="L179" i="4" s="1"/>
  <c r="T179" i="4" s="1"/>
  <c r="P179" i="4"/>
  <c r="O179" i="4"/>
  <c r="I179" i="4" a="1"/>
  <c r="I179" i="4" s="1"/>
  <c r="H179" i="4"/>
  <c r="F179" i="4"/>
  <c r="G179" i="4" s="1"/>
  <c r="A179" i="4"/>
  <c r="U178" i="4"/>
  <c r="L178" i="4" s="1"/>
  <c r="T178" i="4" s="1"/>
  <c r="P178" i="4"/>
  <c r="O178" i="4"/>
  <c r="I178" i="4" a="1"/>
  <c r="I178" i="4" s="1"/>
  <c r="H178" i="4"/>
  <c r="F178" i="4"/>
  <c r="G178" i="4" s="1"/>
  <c r="A178" i="4"/>
  <c r="U177" i="4"/>
  <c r="L177" i="4" s="1"/>
  <c r="T177" i="4" s="1"/>
  <c r="P177" i="4"/>
  <c r="O177" i="4"/>
  <c r="I177" i="4" a="1"/>
  <c r="I177" i="4" s="1"/>
  <c r="H177" i="4"/>
  <c r="F177" i="4"/>
  <c r="G177" i="4" s="1"/>
  <c r="A177" i="4"/>
  <c r="U176" i="4"/>
  <c r="L176" i="4" s="1"/>
  <c r="T176" i="4" s="1"/>
  <c r="P176" i="4"/>
  <c r="O176" i="4"/>
  <c r="I176" i="4" a="1"/>
  <c r="I176" i="4" s="1"/>
  <c r="H176" i="4"/>
  <c r="F176" i="4"/>
  <c r="G176" i="4" s="1"/>
  <c r="A176" i="4"/>
  <c r="U175" i="4"/>
  <c r="L175" i="4" s="1"/>
  <c r="T175" i="4" s="1"/>
  <c r="P175" i="4"/>
  <c r="O175" i="4"/>
  <c r="I175" i="4" a="1"/>
  <c r="I175" i="4" s="1"/>
  <c r="H175" i="4"/>
  <c r="F175" i="4"/>
  <c r="G175" i="4" s="1"/>
  <c r="A175" i="4"/>
  <c r="U174" i="4"/>
  <c r="L174" i="4" s="1"/>
  <c r="T174" i="4" s="1"/>
  <c r="P174" i="4"/>
  <c r="O174" i="4"/>
  <c r="I174" i="4" a="1"/>
  <c r="I174" i="4" s="1"/>
  <c r="H174" i="4"/>
  <c r="F174" i="4"/>
  <c r="G174" i="4" s="1"/>
  <c r="A174" i="4"/>
  <c r="U173" i="4"/>
  <c r="L173" i="4" s="1"/>
  <c r="T173" i="4" s="1"/>
  <c r="P173" i="4"/>
  <c r="O173" i="4"/>
  <c r="I173" i="4" a="1"/>
  <c r="I173" i="4" s="1"/>
  <c r="H173" i="4"/>
  <c r="F173" i="4"/>
  <c r="G173" i="4" s="1"/>
  <c r="A173" i="4"/>
  <c r="U172" i="4"/>
  <c r="L172" i="4" s="1"/>
  <c r="T172" i="4" s="1"/>
  <c r="P172" i="4"/>
  <c r="O172" i="4"/>
  <c r="I172" i="4" a="1"/>
  <c r="I172" i="4" s="1"/>
  <c r="H172" i="4"/>
  <c r="F172" i="4"/>
  <c r="G172" i="4" s="1"/>
  <c r="A172" i="4"/>
  <c r="U171" i="4"/>
  <c r="L171" i="4" s="1"/>
  <c r="T171" i="4" s="1"/>
  <c r="P171" i="4"/>
  <c r="O171" i="4"/>
  <c r="I171" i="4" a="1"/>
  <c r="I171" i="4" s="1"/>
  <c r="H171" i="4"/>
  <c r="F171" i="4"/>
  <c r="G171" i="4" s="1"/>
  <c r="A171" i="4"/>
  <c r="U170" i="4"/>
  <c r="L170" i="4" s="1"/>
  <c r="T170" i="4" s="1"/>
  <c r="P170" i="4"/>
  <c r="O170" i="4"/>
  <c r="I170" i="4" a="1"/>
  <c r="I170" i="4" s="1"/>
  <c r="H170" i="4"/>
  <c r="F170" i="4"/>
  <c r="G170" i="4" s="1"/>
  <c r="A170" i="4"/>
  <c r="U169" i="4"/>
  <c r="L169" i="4" s="1"/>
  <c r="T169" i="4" s="1"/>
  <c r="P169" i="4"/>
  <c r="O169" i="4"/>
  <c r="I169" i="4" a="1"/>
  <c r="I169" i="4" s="1"/>
  <c r="H169" i="4"/>
  <c r="F169" i="4"/>
  <c r="G169" i="4" s="1"/>
  <c r="A169" i="4"/>
  <c r="U168" i="4"/>
  <c r="L168" i="4" s="1"/>
  <c r="T168" i="4" s="1"/>
  <c r="P168" i="4"/>
  <c r="O168" i="4"/>
  <c r="I168" i="4" a="1"/>
  <c r="I168" i="4" s="1"/>
  <c r="H168" i="4"/>
  <c r="F168" i="4"/>
  <c r="G168" i="4" s="1"/>
  <c r="A168" i="4"/>
  <c r="U167" i="4"/>
  <c r="L167" i="4" s="1"/>
  <c r="T167" i="4" s="1"/>
  <c r="P167" i="4"/>
  <c r="O167" i="4"/>
  <c r="I167" i="4" a="1"/>
  <c r="I167" i="4" s="1"/>
  <c r="H167" i="4"/>
  <c r="F167" i="4"/>
  <c r="G167" i="4" s="1"/>
  <c r="A167" i="4"/>
  <c r="U166" i="4"/>
  <c r="L166" i="4" s="1"/>
  <c r="T166" i="4" s="1"/>
  <c r="P166" i="4"/>
  <c r="O166" i="4"/>
  <c r="I166" i="4" a="1"/>
  <c r="I166" i="4" s="1"/>
  <c r="H166" i="4"/>
  <c r="F166" i="4"/>
  <c r="G166" i="4" s="1"/>
  <c r="A166" i="4"/>
  <c r="U165" i="4"/>
  <c r="L165" i="4" s="1"/>
  <c r="T165" i="4" s="1"/>
  <c r="P165" i="4"/>
  <c r="O165" i="4"/>
  <c r="I165" i="4" a="1"/>
  <c r="I165" i="4" s="1"/>
  <c r="H165" i="4"/>
  <c r="F165" i="4"/>
  <c r="G165" i="4" s="1"/>
  <c r="A165" i="4"/>
  <c r="U164" i="4"/>
  <c r="L164" i="4" s="1"/>
  <c r="T164" i="4" s="1"/>
  <c r="P164" i="4"/>
  <c r="O164" i="4"/>
  <c r="I164" i="4" a="1"/>
  <c r="I164" i="4" s="1"/>
  <c r="H164" i="4"/>
  <c r="F164" i="4"/>
  <c r="G164" i="4" s="1"/>
  <c r="A164" i="4"/>
  <c r="U163" i="4"/>
  <c r="L163" i="4" s="1"/>
  <c r="T163" i="4" s="1"/>
  <c r="P163" i="4"/>
  <c r="O163" i="4"/>
  <c r="I163" i="4" a="1"/>
  <c r="I163" i="4" s="1"/>
  <c r="H163" i="4"/>
  <c r="F163" i="4"/>
  <c r="G163" i="4" s="1"/>
  <c r="A163" i="4"/>
  <c r="U162" i="4"/>
  <c r="P162" i="4"/>
  <c r="O162" i="4"/>
  <c r="L162" i="4"/>
  <c r="T162" i="4" s="1"/>
  <c r="I162" i="4" a="1"/>
  <c r="I162" i="4" s="1"/>
  <c r="H162" i="4"/>
  <c r="F162" i="4"/>
  <c r="G162" i="4" s="1"/>
  <c r="A162" i="4"/>
  <c r="U161" i="4"/>
  <c r="L161" i="4" s="1"/>
  <c r="T161" i="4" s="1"/>
  <c r="P161" i="4"/>
  <c r="O161" i="4"/>
  <c r="I161" i="4" a="1"/>
  <c r="I161" i="4" s="1"/>
  <c r="H161" i="4"/>
  <c r="F161" i="4"/>
  <c r="G161" i="4" s="1"/>
  <c r="A161" i="4"/>
  <c r="U160" i="4"/>
  <c r="L160" i="4" s="1"/>
  <c r="T160" i="4" s="1"/>
  <c r="P160" i="4"/>
  <c r="O160" i="4"/>
  <c r="I160" i="4" a="1"/>
  <c r="I160" i="4" s="1"/>
  <c r="H160" i="4"/>
  <c r="F160" i="4"/>
  <c r="G160" i="4" s="1"/>
  <c r="A160" i="4"/>
  <c r="U159" i="4"/>
  <c r="L159" i="4" s="1"/>
  <c r="T159" i="4"/>
  <c r="P159" i="4"/>
  <c r="O159" i="4"/>
  <c r="I159" i="4" a="1"/>
  <c r="I159" i="4" s="1"/>
  <c r="H159" i="4"/>
  <c r="G159" i="4"/>
  <c r="F159" i="4"/>
  <c r="A159" i="4"/>
  <c r="U158" i="4"/>
  <c r="P158" i="4"/>
  <c r="O158" i="4"/>
  <c r="L158" i="4"/>
  <c r="T158" i="4" s="1"/>
  <c r="I158" i="4" a="1"/>
  <c r="I158" i="4" s="1"/>
  <c r="H158" i="4"/>
  <c r="F158" i="4"/>
  <c r="G158" i="4" s="1"/>
  <c r="A158" i="4"/>
  <c r="U157" i="4"/>
  <c r="L157" i="4" s="1"/>
  <c r="T157" i="4" s="1"/>
  <c r="P157" i="4"/>
  <c r="O157" i="4"/>
  <c r="I157" i="4" a="1"/>
  <c r="I157" i="4" s="1"/>
  <c r="H157" i="4"/>
  <c r="F157" i="4"/>
  <c r="G157" i="4" s="1"/>
  <c r="A157" i="4"/>
  <c r="U156" i="4"/>
  <c r="L156" i="4" s="1"/>
  <c r="T156" i="4" s="1"/>
  <c r="P156" i="4"/>
  <c r="O156" i="4"/>
  <c r="I156" i="4" a="1"/>
  <c r="I156" i="4" s="1"/>
  <c r="H156" i="4"/>
  <c r="F156" i="4"/>
  <c r="G156" i="4" s="1"/>
  <c r="A156" i="4"/>
  <c r="U155" i="4"/>
  <c r="P155" i="4"/>
  <c r="O155" i="4"/>
  <c r="L155" i="4"/>
  <c r="T155" i="4" s="1"/>
  <c r="I155" i="4" a="1"/>
  <c r="I155" i="4" s="1"/>
  <c r="H155" i="4"/>
  <c r="F155" i="4"/>
  <c r="G155" i="4" s="1"/>
  <c r="A155" i="4"/>
  <c r="U154" i="4"/>
  <c r="L154" i="4" s="1"/>
  <c r="T154" i="4" s="1"/>
  <c r="P154" i="4"/>
  <c r="O154" i="4"/>
  <c r="I154" i="4" a="1"/>
  <c r="I154" i="4" s="1"/>
  <c r="H154" i="4"/>
  <c r="F154" i="4"/>
  <c r="G154" i="4" s="1"/>
  <c r="A154" i="4"/>
  <c r="U153" i="4"/>
  <c r="L153" i="4" s="1"/>
  <c r="T153" i="4" s="1"/>
  <c r="P153" i="4"/>
  <c r="O153" i="4"/>
  <c r="I153" i="4" a="1"/>
  <c r="I153" i="4" s="1"/>
  <c r="H153" i="4"/>
  <c r="F153" i="4"/>
  <c r="G153" i="4" s="1"/>
  <c r="A153" i="4"/>
  <c r="U152" i="4"/>
  <c r="P152" i="4"/>
  <c r="O152" i="4"/>
  <c r="L152" i="4"/>
  <c r="T152" i="4" s="1"/>
  <c r="I152" i="4" a="1"/>
  <c r="I152" i="4" s="1"/>
  <c r="H152" i="4"/>
  <c r="F152" i="4"/>
  <c r="G152" i="4" s="1"/>
  <c r="A152" i="4"/>
  <c r="U151" i="4"/>
  <c r="L151" i="4" s="1"/>
  <c r="T151" i="4" s="1"/>
  <c r="P151" i="4"/>
  <c r="O151" i="4"/>
  <c r="I151" i="4" a="1"/>
  <c r="I151" i="4" s="1"/>
  <c r="H151" i="4"/>
  <c r="F151" i="4"/>
  <c r="G151" i="4" s="1"/>
  <c r="A151" i="4"/>
  <c r="U150" i="4"/>
  <c r="P150" i="4"/>
  <c r="O150" i="4"/>
  <c r="L150" i="4"/>
  <c r="T150" i="4" s="1"/>
  <c r="I150" i="4" a="1"/>
  <c r="I150" i="4" s="1"/>
  <c r="H150" i="4"/>
  <c r="F150" i="4"/>
  <c r="G150" i="4" s="1"/>
  <c r="A150" i="4"/>
  <c r="U149" i="4"/>
  <c r="L149" i="4" s="1"/>
  <c r="T149" i="4" s="1"/>
  <c r="P149" i="4"/>
  <c r="O149" i="4"/>
  <c r="I149" i="4" a="1"/>
  <c r="I149" i="4" s="1"/>
  <c r="H149" i="4"/>
  <c r="F149" i="4"/>
  <c r="G149" i="4" s="1"/>
  <c r="A149" i="4"/>
  <c r="U148" i="4"/>
  <c r="L148" i="4" s="1"/>
  <c r="T148" i="4" s="1"/>
  <c r="P148" i="4"/>
  <c r="O148" i="4"/>
  <c r="I148" i="4" a="1"/>
  <c r="I148" i="4" s="1"/>
  <c r="H148" i="4"/>
  <c r="F148" i="4"/>
  <c r="G148" i="4" s="1"/>
  <c r="A148" i="4"/>
  <c r="U147" i="4"/>
  <c r="L147" i="4" s="1"/>
  <c r="T147" i="4" s="1"/>
  <c r="P147" i="4"/>
  <c r="O147" i="4"/>
  <c r="I147" i="4" a="1"/>
  <c r="I147" i="4" s="1"/>
  <c r="H147" i="4"/>
  <c r="F147" i="4"/>
  <c r="G147" i="4" s="1"/>
  <c r="A147" i="4"/>
  <c r="U146" i="4"/>
  <c r="L146" i="4" s="1"/>
  <c r="T146" i="4" s="1"/>
  <c r="P146" i="4"/>
  <c r="O146" i="4"/>
  <c r="I146" i="4" a="1"/>
  <c r="I146" i="4" s="1"/>
  <c r="H146" i="4"/>
  <c r="F146" i="4"/>
  <c r="G146" i="4" s="1"/>
  <c r="A146" i="4"/>
  <c r="U145" i="4"/>
  <c r="L145" i="4" s="1"/>
  <c r="T145" i="4" s="1"/>
  <c r="P145" i="4"/>
  <c r="O145" i="4"/>
  <c r="I145" i="4" a="1"/>
  <c r="I145" i="4" s="1"/>
  <c r="H145" i="4"/>
  <c r="F145" i="4"/>
  <c r="G145" i="4" s="1"/>
  <c r="A145" i="4"/>
  <c r="U144" i="4"/>
  <c r="L144" i="4" s="1"/>
  <c r="T144" i="4" s="1"/>
  <c r="P144" i="4"/>
  <c r="O144" i="4"/>
  <c r="I144" i="4" a="1"/>
  <c r="I144" i="4" s="1"/>
  <c r="H144" i="4"/>
  <c r="F144" i="4"/>
  <c r="G144" i="4" s="1"/>
  <c r="A144" i="4"/>
  <c r="U143" i="4"/>
  <c r="L143" i="4" s="1"/>
  <c r="T143" i="4" s="1"/>
  <c r="P143" i="4"/>
  <c r="O143" i="4"/>
  <c r="I143" i="4" a="1"/>
  <c r="I143" i="4" s="1"/>
  <c r="H143" i="4"/>
  <c r="F143" i="4"/>
  <c r="G143" i="4" s="1"/>
  <c r="A143" i="4"/>
  <c r="U142" i="4"/>
  <c r="L142" i="4" s="1"/>
  <c r="T142" i="4" s="1"/>
  <c r="P142" i="4"/>
  <c r="O142" i="4"/>
  <c r="I142" i="4" a="1"/>
  <c r="I142" i="4" s="1"/>
  <c r="H142" i="4"/>
  <c r="F142" i="4"/>
  <c r="G142" i="4" s="1"/>
  <c r="A142" i="4"/>
  <c r="U141" i="4"/>
  <c r="L141" i="4" s="1"/>
  <c r="T141" i="4" s="1"/>
  <c r="P141" i="4"/>
  <c r="O141" i="4"/>
  <c r="I141" i="4" a="1"/>
  <c r="I141" i="4" s="1"/>
  <c r="H141" i="4"/>
  <c r="F141" i="4"/>
  <c r="G141" i="4" s="1"/>
  <c r="A141" i="4"/>
  <c r="U140" i="4"/>
  <c r="L140" i="4" s="1"/>
  <c r="T140" i="4" s="1"/>
  <c r="P140" i="4"/>
  <c r="O140" i="4"/>
  <c r="I140" i="4" a="1"/>
  <c r="I140" i="4" s="1"/>
  <c r="H140" i="4"/>
  <c r="F140" i="4"/>
  <c r="G140" i="4" s="1"/>
  <c r="A140" i="4"/>
  <c r="U139" i="4"/>
  <c r="L139" i="4" s="1"/>
  <c r="T139" i="4" s="1"/>
  <c r="P139" i="4"/>
  <c r="O139" i="4"/>
  <c r="I139" i="4" a="1"/>
  <c r="I139" i="4" s="1"/>
  <c r="H139" i="4"/>
  <c r="F139" i="4"/>
  <c r="G139" i="4" s="1"/>
  <c r="A139" i="4"/>
  <c r="U138" i="4"/>
  <c r="L138" i="4" s="1"/>
  <c r="T138" i="4" s="1"/>
  <c r="P138" i="4"/>
  <c r="O138" i="4"/>
  <c r="I138" i="4" a="1"/>
  <c r="I138" i="4" s="1"/>
  <c r="H138" i="4"/>
  <c r="F138" i="4"/>
  <c r="G138" i="4" s="1"/>
  <c r="A138" i="4"/>
  <c r="U137" i="4"/>
  <c r="L137" i="4" s="1"/>
  <c r="T137" i="4" s="1"/>
  <c r="P137" i="4"/>
  <c r="O137" i="4"/>
  <c r="I137" i="4" a="1"/>
  <c r="I137" i="4" s="1"/>
  <c r="H137" i="4"/>
  <c r="F137" i="4"/>
  <c r="G137" i="4" s="1"/>
  <c r="A137" i="4"/>
  <c r="U136" i="4"/>
  <c r="L136" i="4" s="1"/>
  <c r="T136" i="4" s="1"/>
  <c r="P136" i="4"/>
  <c r="O136" i="4"/>
  <c r="I136" i="4" a="1"/>
  <c r="I136" i="4" s="1"/>
  <c r="H136" i="4"/>
  <c r="F136" i="4"/>
  <c r="G136" i="4" s="1"/>
  <c r="A136" i="4"/>
  <c r="U135" i="4"/>
  <c r="L135" i="4" s="1"/>
  <c r="T135" i="4" s="1"/>
  <c r="P135" i="4"/>
  <c r="O135" i="4"/>
  <c r="I135" i="4" a="1"/>
  <c r="I135" i="4" s="1"/>
  <c r="H135" i="4"/>
  <c r="F135" i="4"/>
  <c r="G135" i="4" s="1"/>
  <c r="A135" i="4"/>
  <c r="U134" i="4"/>
  <c r="L134" i="4" s="1"/>
  <c r="T134" i="4" s="1"/>
  <c r="P134" i="4"/>
  <c r="O134" i="4"/>
  <c r="I134" i="4" a="1"/>
  <c r="I134" i="4" s="1"/>
  <c r="H134" i="4"/>
  <c r="F134" i="4"/>
  <c r="G134" i="4" s="1"/>
  <c r="A134" i="4"/>
  <c r="U133" i="4"/>
  <c r="L133" i="4" s="1"/>
  <c r="T133" i="4"/>
  <c r="P133" i="4"/>
  <c r="O133" i="4"/>
  <c r="I133" i="4" a="1"/>
  <c r="I133" i="4" s="1"/>
  <c r="H133" i="4"/>
  <c r="F133" i="4"/>
  <c r="G133" i="4" s="1"/>
  <c r="A133" i="4"/>
  <c r="U132" i="4"/>
  <c r="L132" i="4" s="1"/>
  <c r="T132" i="4" s="1"/>
  <c r="P132" i="4"/>
  <c r="O132" i="4"/>
  <c r="I132" i="4" a="1"/>
  <c r="I132" i="4" s="1"/>
  <c r="H132" i="4"/>
  <c r="F132" i="4"/>
  <c r="G132" i="4" s="1"/>
  <c r="A132" i="4"/>
  <c r="U131" i="4"/>
  <c r="L131" i="4" s="1"/>
  <c r="T131" i="4" s="1"/>
  <c r="P131" i="4"/>
  <c r="O131" i="4"/>
  <c r="I131" i="4" a="1"/>
  <c r="I131" i="4" s="1"/>
  <c r="H131" i="4"/>
  <c r="F131" i="4"/>
  <c r="G131" i="4" s="1"/>
  <c r="A131" i="4"/>
  <c r="U130" i="4"/>
  <c r="L130" i="4" s="1"/>
  <c r="T130" i="4" s="1"/>
  <c r="P130" i="4"/>
  <c r="O130" i="4"/>
  <c r="I130" i="4" a="1"/>
  <c r="I130" i="4" s="1"/>
  <c r="H130" i="4"/>
  <c r="F130" i="4"/>
  <c r="G130" i="4" s="1"/>
  <c r="A130" i="4"/>
  <c r="U129" i="4"/>
  <c r="L129" i="4" s="1"/>
  <c r="T129" i="4" s="1"/>
  <c r="P129" i="4"/>
  <c r="O129" i="4"/>
  <c r="I129" i="4" a="1"/>
  <c r="I129" i="4" s="1"/>
  <c r="H129" i="4"/>
  <c r="F129" i="4"/>
  <c r="G129" i="4" s="1"/>
  <c r="A129" i="4"/>
  <c r="U128" i="4"/>
  <c r="L128" i="4" s="1"/>
  <c r="T128" i="4" s="1"/>
  <c r="P128" i="4"/>
  <c r="O128" i="4"/>
  <c r="I128" i="4" a="1"/>
  <c r="I128" i="4" s="1"/>
  <c r="H128" i="4"/>
  <c r="F128" i="4"/>
  <c r="G128" i="4" s="1"/>
  <c r="A128" i="4"/>
  <c r="U127" i="4"/>
  <c r="L127" i="4" s="1"/>
  <c r="T127" i="4" s="1"/>
  <c r="P127" i="4"/>
  <c r="O127" i="4"/>
  <c r="I127" i="4" a="1"/>
  <c r="I127" i="4" s="1"/>
  <c r="H127" i="4"/>
  <c r="F127" i="4"/>
  <c r="G127" i="4" s="1"/>
  <c r="A127" i="4"/>
  <c r="U126" i="4"/>
  <c r="L126" i="4" s="1"/>
  <c r="T126" i="4" s="1"/>
  <c r="P126" i="4"/>
  <c r="O126" i="4"/>
  <c r="I126" i="4" a="1"/>
  <c r="I126" i="4" s="1"/>
  <c r="H126" i="4"/>
  <c r="F126" i="4"/>
  <c r="G126" i="4" s="1"/>
  <c r="A126" i="4"/>
  <c r="U125" i="4"/>
  <c r="L125" i="4" s="1"/>
  <c r="T125" i="4" s="1"/>
  <c r="P125" i="4"/>
  <c r="O125" i="4"/>
  <c r="I125" i="4" a="1"/>
  <c r="I125" i="4" s="1"/>
  <c r="H125" i="4"/>
  <c r="F125" i="4"/>
  <c r="G125" i="4" s="1"/>
  <c r="A125" i="4"/>
  <c r="U124" i="4"/>
  <c r="L124" i="4" s="1"/>
  <c r="T124" i="4" s="1"/>
  <c r="P124" i="4"/>
  <c r="O124" i="4"/>
  <c r="I124" i="4" a="1"/>
  <c r="I124" i="4" s="1"/>
  <c r="H124" i="4"/>
  <c r="F124" i="4"/>
  <c r="G124" i="4" s="1"/>
  <c r="A124" i="4"/>
  <c r="U123" i="4"/>
  <c r="L123" i="4" s="1"/>
  <c r="T123" i="4" s="1"/>
  <c r="P123" i="4"/>
  <c r="O123" i="4"/>
  <c r="I123" i="4" a="1"/>
  <c r="I123" i="4" s="1"/>
  <c r="H123" i="4"/>
  <c r="F123" i="4"/>
  <c r="G123" i="4" s="1"/>
  <c r="A123" i="4"/>
  <c r="U122" i="4"/>
  <c r="L122" i="4" s="1"/>
  <c r="T122" i="4" s="1"/>
  <c r="P122" i="4"/>
  <c r="O122" i="4"/>
  <c r="I122" i="4" a="1"/>
  <c r="I122" i="4" s="1"/>
  <c r="H122" i="4"/>
  <c r="F122" i="4"/>
  <c r="G122" i="4" s="1"/>
  <c r="A122" i="4"/>
  <c r="U121" i="4"/>
  <c r="L121" i="4" s="1"/>
  <c r="T121" i="4" s="1"/>
  <c r="P121" i="4"/>
  <c r="O121" i="4"/>
  <c r="I121" i="4"/>
  <c r="I121" i="4" a="1"/>
  <c r="H121" i="4"/>
  <c r="F121" i="4"/>
  <c r="G121" i="4" s="1"/>
  <c r="A121" i="4"/>
  <c r="U120" i="4"/>
  <c r="L120" i="4" s="1"/>
  <c r="T120" i="4" s="1"/>
  <c r="P120" i="4"/>
  <c r="O120" i="4"/>
  <c r="I120" i="4" a="1"/>
  <c r="I120" i="4" s="1"/>
  <c r="H120" i="4"/>
  <c r="F120" i="4"/>
  <c r="G120" i="4" s="1"/>
  <c r="A120" i="4"/>
  <c r="U119" i="4"/>
  <c r="L119" i="4" s="1"/>
  <c r="T119" i="4" s="1"/>
  <c r="P119" i="4"/>
  <c r="O119" i="4"/>
  <c r="I119" i="4" a="1"/>
  <c r="I119" i="4" s="1"/>
  <c r="H119" i="4"/>
  <c r="F119" i="4"/>
  <c r="G119" i="4" s="1"/>
  <c r="A119" i="4"/>
  <c r="U118" i="4"/>
  <c r="L118" i="4" s="1"/>
  <c r="T118" i="4" s="1"/>
  <c r="P118" i="4"/>
  <c r="O118" i="4"/>
  <c r="I118" i="4" a="1"/>
  <c r="I118" i="4" s="1"/>
  <c r="H118" i="4"/>
  <c r="F118" i="4"/>
  <c r="G118" i="4" s="1"/>
  <c r="A118" i="4"/>
  <c r="U117" i="4"/>
  <c r="L117" i="4" s="1"/>
  <c r="T117" i="4" s="1"/>
  <c r="P117" i="4"/>
  <c r="O117" i="4"/>
  <c r="I117" i="4" a="1"/>
  <c r="I117" i="4" s="1"/>
  <c r="H117" i="4"/>
  <c r="F117" i="4"/>
  <c r="G117" i="4" s="1"/>
  <c r="A117" i="4"/>
  <c r="U116" i="4"/>
  <c r="L116" i="4" s="1"/>
  <c r="T116" i="4" s="1"/>
  <c r="P116" i="4"/>
  <c r="O116" i="4"/>
  <c r="I116" i="4" a="1"/>
  <c r="I116" i="4" s="1"/>
  <c r="H116" i="4"/>
  <c r="F116" i="4"/>
  <c r="G116" i="4" s="1"/>
  <c r="A116" i="4"/>
  <c r="U115" i="4"/>
  <c r="L115" i="4" s="1"/>
  <c r="T115" i="4" s="1"/>
  <c r="P115" i="4"/>
  <c r="O115" i="4"/>
  <c r="I115" i="4" a="1"/>
  <c r="I115" i="4" s="1"/>
  <c r="H115" i="4"/>
  <c r="F115" i="4"/>
  <c r="G115" i="4" s="1"/>
  <c r="A115" i="4"/>
  <c r="U114" i="4"/>
  <c r="L114" i="4" s="1"/>
  <c r="T114" i="4" s="1"/>
  <c r="P114" i="4"/>
  <c r="O114" i="4"/>
  <c r="I114" i="4" a="1"/>
  <c r="I114" i="4" s="1"/>
  <c r="H114" i="4"/>
  <c r="F114" i="4"/>
  <c r="G114" i="4" s="1"/>
  <c r="A114" i="4"/>
  <c r="U113" i="4"/>
  <c r="L113" i="4" s="1"/>
  <c r="T113" i="4" s="1"/>
  <c r="P113" i="4"/>
  <c r="O113" i="4"/>
  <c r="I113" i="4" a="1"/>
  <c r="I113" i="4" s="1"/>
  <c r="H113" i="4"/>
  <c r="F113" i="4"/>
  <c r="G113" i="4" s="1"/>
  <c r="A113" i="4"/>
  <c r="U112" i="4"/>
  <c r="L112" i="4" s="1"/>
  <c r="T112" i="4" s="1"/>
  <c r="P112" i="4"/>
  <c r="O112" i="4"/>
  <c r="I112" i="4" a="1"/>
  <c r="I112" i="4" s="1"/>
  <c r="H112" i="4"/>
  <c r="F112" i="4"/>
  <c r="G112" i="4" s="1"/>
  <c r="A112" i="4"/>
  <c r="U111" i="4"/>
  <c r="L111" i="4" s="1"/>
  <c r="T111" i="4" s="1"/>
  <c r="P111" i="4"/>
  <c r="O111" i="4"/>
  <c r="I111" i="4" a="1"/>
  <c r="I111" i="4" s="1"/>
  <c r="H111" i="4"/>
  <c r="F111" i="4"/>
  <c r="G111" i="4" s="1"/>
  <c r="A111" i="4"/>
  <c r="U110" i="4"/>
  <c r="L110" i="4" s="1"/>
  <c r="T110" i="4" s="1"/>
  <c r="P110" i="4"/>
  <c r="O110" i="4"/>
  <c r="I110" i="4" a="1"/>
  <c r="I110" i="4" s="1"/>
  <c r="H110" i="4"/>
  <c r="F110" i="4"/>
  <c r="G110" i="4" s="1"/>
  <c r="A110" i="4"/>
  <c r="U109" i="4"/>
  <c r="L109" i="4" s="1"/>
  <c r="T109" i="4" s="1"/>
  <c r="P109" i="4"/>
  <c r="O109" i="4"/>
  <c r="I109" i="4" a="1"/>
  <c r="I109" i="4" s="1"/>
  <c r="H109" i="4"/>
  <c r="F109" i="4"/>
  <c r="G109" i="4" s="1"/>
  <c r="A109" i="4"/>
  <c r="U108" i="4"/>
  <c r="L108" i="4" s="1"/>
  <c r="T108" i="4" s="1"/>
  <c r="P108" i="4"/>
  <c r="O108" i="4"/>
  <c r="I108" i="4" a="1"/>
  <c r="I108" i="4" s="1"/>
  <c r="H108" i="4"/>
  <c r="F108" i="4"/>
  <c r="G108" i="4" s="1"/>
  <c r="A108" i="4"/>
  <c r="U107" i="4"/>
  <c r="L107" i="4" s="1"/>
  <c r="T107" i="4" s="1"/>
  <c r="P107" i="4"/>
  <c r="O107" i="4"/>
  <c r="I107" i="4" a="1"/>
  <c r="I107" i="4" s="1"/>
  <c r="H107" i="4"/>
  <c r="F107" i="4"/>
  <c r="G107" i="4" s="1"/>
  <c r="A107" i="4"/>
  <c r="U106" i="4"/>
  <c r="L106" i="4" s="1"/>
  <c r="T106" i="4" s="1"/>
  <c r="P106" i="4"/>
  <c r="O106" i="4"/>
  <c r="I106" i="4" a="1"/>
  <c r="I106" i="4" s="1"/>
  <c r="H106" i="4"/>
  <c r="F106" i="4"/>
  <c r="G106" i="4" s="1"/>
  <c r="A106" i="4"/>
  <c r="U105" i="4"/>
  <c r="L105" i="4" s="1"/>
  <c r="T105" i="4" s="1"/>
  <c r="P105" i="4"/>
  <c r="O105" i="4"/>
  <c r="I105" i="4" a="1"/>
  <c r="I105" i="4" s="1"/>
  <c r="H105" i="4"/>
  <c r="F105" i="4"/>
  <c r="G105" i="4" s="1"/>
  <c r="A105" i="4"/>
  <c r="U104" i="4"/>
  <c r="L104" i="4" s="1"/>
  <c r="T104" i="4" s="1"/>
  <c r="P104" i="4"/>
  <c r="O104" i="4"/>
  <c r="I104" i="4" a="1"/>
  <c r="I104" i="4" s="1"/>
  <c r="H104" i="4"/>
  <c r="F104" i="4"/>
  <c r="G104" i="4" s="1"/>
  <c r="A104" i="4"/>
  <c r="U103" i="4"/>
  <c r="L103" i="4" s="1"/>
  <c r="T103" i="4" s="1"/>
  <c r="P103" i="4"/>
  <c r="O103" i="4"/>
  <c r="I103" i="4" a="1"/>
  <c r="I103" i="4" s="1"/>
  <c r="H103" i="4"/>
  <c r="F103" i="4"/>
  <c r="G103" i="4" s="1"/>
  <c r="A103" i="4"/>
  <c r="U102" i="4"/>
  <c r="L102" i="4" s="1"/>
  <c r="T102" i="4" s="1"/>
  <c r="P102" i="4"/>
  <c r="O102" i="4"/>
  <c r="I102" i="4" a="1"/>
  <c r="I102" i="4" s="1"/>
  <c r="H102" i="4"/>
  <c r="F102" i="4"/>
  <c r="G102" i="4" s="1"/>
  <c r="A102" i="4"/>
  <c r="U101" i="4"/>
  <c r="L101" i="4" s="1"/>
  <c r="T101" i="4" s="1"/>
  <c r="P101" i="4"/>
  <c r="O101" i="4"/>
  <c r="I101" i="4" a="1"/>
  <c r="I101" i="4" s="1"/>
  <c r="H101" i="4"/>
  <c r="F101" i="4"/>
  <c r="G101" i="4" s="1"/>
  <c r="A101" i="4"/>
  <c r="U100" i="4"/>
  <c r="L100" i="4" s="1"/>
  <c r="T100" i="4" s="1"/>
  <c r="P100" i="4"/>
  <c r="O100" i="4"/>
  <c r="I100" i="4" a="1"/>
  <c r="I100" i="4" s="1"/>
  <c r="H100" i="4"/>
  <c r="F100" i="4"/>
  <c r="G100" i="4" s="1"/>
  <c r="A100" i="4"/>
  <c r="U99" i="4"/>
  <c r="L99" i="4" s="1"/>
  <c r="T99" i="4" s="1"/>
  <c r="P99" i="4"/>
  <c r="O99" i="4"/>
  <c r="I99" i="4" a="1"/>
  <c r="I99" i="4" s="1"/>
  <c r="H99" i="4"/>
  <c r="F99" i="4"/>
  <c r="G99" i="4" s="1"/>
  <c r="A99" i="4"/>
  <c r="U98" i="4"/>
  <c r="L98" i="4" s="1"/>
  <c r="T98" i="4"/>
  <c r="P98" i="4"/>
  <c r="O98" i="4"/>
  <c r="I98" i="4" a="1"/>
  <c r="I98" i="4" s="1"/>
  <c r="H98" i="4"/>
  <c r="F98" i="4"/>
  <c r="G98" i="4" s="1"/>
  <c r="A98" i="4"/>
  <c r="U97" i="4"/>
  <c r="L97" i="4" s="1"/>
  <c r="T97" i="4" s="1"/>
  <c r="P97" i="4"/>
  <c r="O97" i="4"/>
  <c r="I97" i="4" a="1"/>
  <c r="I97" i="4" s="1"/>
  <c r="H97" i="4"/>
  <c r="F97" i="4"/>
  <c r="G97" i="4" s="1"/>
  <c r="A97" i="4"/>
  <c r="U96" i="4"/>
  <c r="L96" i="4" s="1"/>
  <c r="T96" i="4" s="1"/>
  <c r="P96" i="4"/>
  <c r="O96" i="4"/>
  <c r="I96" i="4" a="1"/>
  <c r="I96" i="4" s="1"/>
  <c r="H96" i="4"/>
  <c r="F96" i="4"/>
  <c r="G96" i="4" s="1"/>
  <c r="A96" i="4"/>
  <c r="U95" i="4"/>
  <c r="L95" i="4" s="1"/>
  <c r="T95" i="4" s="1"/>
  <c r="P95" i="4"/>
  <c r="O95" i="4"/>
  <c r="I95" i="4" a="1"/>
  <c r="I95" i="4" s="1"/>
  <c r="H95" i="4"/>
  <c r="F95" i="4"/>
  <c r="G95" i="4" s="1"/>
  <c r="A95" i="4"/>
  <c r="U94" i="4"/>
  <c r="L94" i="4" s="1"/>
  <c r="T94" i="4" s="1"/>
  <c r="P94" i="4"/>
  <c r="O94" i="4"/>
  <c r="I94" i="4" a="1"/>
  <c r="I94" i="4" s="1"/>
  <c r="H94" i="4"/>
  <c r="F94" i="4"/>
  <c r="G94" i="4" s="1"/>
  <c r="A94" i="4"/>
  <c r="U93" i="4"/>
  <c r="L93" i="4" s="1"/>
  <c r="T93" i="4" s="1"/>
  <c r="P93" i="4"/>
  <c r="O93" i="4"/>
  <c r="I93" i="4" a="1"/>
  <c r="I93" i="4" s="1"/>
  <c r="H93" i="4"/>
  <c r="F93" i="4"/>
  <c r="G93" i="4" s="1"/>
  <c r="A93" i="4"/>
  <c r="U92" i="4"/>
  <c r="L92" i="4" s="1"/>
  <c r="T92" i="4" s="1"/>
  <c r="P92" i="4"/>
  <c r="O92" i="4"/>
  <c r="I92" i="4" a="1"/>
  <c r="I92" i="4" s="1"/>
  <c r="H92" i="4"/>
  <c r="F92" i="4"/>
  <c r="G92" i="4" s="1"/>
  <c r="A92" i="4"/>
  <c r="U91" i="4"/>
  <c r="L91" i="4" s="1"/>
  <c r="T91" i="4" s="1"/>
  <c r="P91" i="4"/>
  <c r="O91" i="4"/>
  <c r="I91" i="4" a="1"/>
  <c r="I91" i="4" s="1"/>
  <c r="H91" i="4"/>
  <c r="F91" i="4"/>
  <c r="G91" i="4" s="1"/>
  <c r="A91" i="4"/>
  <c r="U90" i="4"/>
  <c r="L90" i="4" s="1"/>
  <c r="T90" i="4" s="1"/>
  <c r="P90" i="4"/>
  <c r="O90" i="4"/>
  <c r="I90" i="4" a="1"/>
  <c r="I90" i="4" s="1"/>
  <c r="H90" i="4"/>
  <c r="F90" i="4"/>
  <c r="G90" i="4" s="1"/>
  <c r="A90" i="4"/>
  <c r="U89" i="4"/>
  <c r="L89" i="4" s="1"/>
  <c r="T89" i="4"/>
  <c r="P89" i="4"/>
  <c r="O89" i="4"/>
  <c r="I89" i="4" a="1"/>
  <c r="I89" i="4" s="1"/>
  <c r="H89" i="4"/>
  <c r="F89" i="4"/>
  <c r="G89" i="4" s="1"/>
  <c r="A89" i="4"/>
  <c r="U88" i="4"/>
  <c r="L88" i="4" s="1"/>
  <c r="T88" i="4" s="1"/>
  <c r="P88" i="4"/>
  <c r="O88" i="4"/>
  <c r="I88" i="4" a="1"/>
  <c r="I88" i="4" s="1"/>
  <c r="H88" i="4"/>
  <c r="F88" i="4"/>
  <c r="G88" i="4" s="1"/>
  <c r="A88" i="4"/>
  <c r="U87" i="4"/>
  <c r="L87" i="4" s="1"/>
  <c r="T87" i="4" s="1"/>
  <c r="P87" i="4"/>
  <c r="O87" i="4"/>
  <c r="I87" i="4" a="1"/>
  <c r="I87" i="4" s="1"/>
  <c r="H87" i="4"/>
  <c r="F87" i="4"/>
  <c r="G87" i="4" s="1"/>
  <c r="A87" i="4"/>
  <c r="U86" i="4"/>
  <c r="L86" i="4" s="1"/>
  <c r="T86" i="4" s="1"/>
  <c r="P86" i="4"/>
  <c r="O86" i="4"/>
  <c r="I86" i="4" a="1"/>
  <c r="I86" i="4" s="1"/>
  <c r="H86" i="4"/>
  <c r="F86" i="4"/>
  <c r="G86" i="4" s="1"/>
  <c r="A86" i="4"/>
  <c r="U85" i="4"/>
  <c r="L85" i="4" s="1"/>
  <c r="T85" i="4" s="1"/>
  <c r="P85" i="4"/>
  <c r="O85" i="4"/>
  <c r="I85" i="4" a="1"/>
  <c r="I85" i="4" s="1"/>
  <c r="H85" i="4"/>
  <c r="F85" i="4"/>
  <c r="G85" i="4" s="1"/>
  <c r="A85" i="4"/>
  <c r="U84" i="4"/>
  <c r="L84" i="4" s="1"/>
  <c r="T84" i="4" s="1"/>
  <c r="P84" i="4"/>
  <c r="O84" i="4"/>
  <c r="I84" i="4" a="1"/>
  <c r="I84" i="4" s="1"/>
  <c r="H84" i="4"/>
  <c r="F84" i="4"/>
  <c r="G84" i="4" s="1"/>
  <c r="A84" i="4"/>
  <c r="U83" i="4"/>
  <c r="L83" i="4" s="1"/>
  <c r="T83" i="4" s="1"/>
  <c r="P83" i="4"/>
  <c r="O83" i="4"/>
  <c r="I83" i="4" a="1"/>
  <c r="I83" i="4" s="1"/>
  <c r="H83" i="4"/>
  <c r="F83" i="4"/>
  <c r="G83" i="4" s="1"/>
  <c r="A83" i="4"/>
  <c r="U82" i="4"/>
  <c r="L82" i="4" s="1"/>
  <c r="T82" i="4" s="1"/>
  <c r="P82" i="4"/>
  <c r="O82" i="4"/>
  <c r="I82" i="4" a="1"/>
  <c r="I82" i="4" s="1"/>
  <c r="H82" i="4"/>
  <c r="F82" i="4"/>
  <c r="G82" i="4" s="1"/>
  <c r="A82" i="4"/>
  <c r="U81" i="4"/>
  <c r="L81" i="4" s="1"/>
  <c r="T81" i="4" s="1"/>
  <c r="P81" i="4"/>
  <c r="O81" i="4"/>
  <c r="I81" i="4" a="1"/>
  <c r="I81" i="4" s="1"/>
  <c r="H81" i="4"/>
  <c r="F81" i="4"/>
  <c r="G81" i="4" s="1"/>
  <c r="A81" i="4"/>
  <c r="U80" i="4"/>
  <c r="L80" i="4" s="1"/>
  <c r="T80" i="4" s="1"/>
  <c r="P80" i="4"/>
  <c r="O80" i="4"/>
  <c r="I80" i="4" a="1"/>
  <c r="I80" i="4" s="1"/>
  <c r="H80" i="4"/>
  <c r="F80" i="4"/>
  <c r="G80" i="4" s="1"/>
  <c r="A80" i="4"/>
  <c r="U79" i="4"/>
  <c r="L79" i="4" s="1"/>
  <c r="T79" i="4" s="1"/>
  <c r="P79" i="4"/>
  <c r="O79" i="4"/>
  <c r="I79" i="4" a="1"/>
  <c r="I79" i="4" s="1"/>
  <c r="H79" i="4"/>
  <c r="F79" i="4"/>
  <c r="G79" i="4" s="1"/>
  <c r="A79" i="4"/>
  <c r="U78" i="4"/>
  <c r="L78" i="4" s="1"/>
  <c r="T78" i="4"/>
  <c r="P78" i="4"/>
  <c r="O78" i="4"/>
  <c r="I78" i="4" a="1"/>
  <c r="I78" i="4" s="1"/>
  <c r="H78" i="4"/>
  <c r="F78" i="4"/>
  <c r="G78" i="4" s="1"/>
  <c r="A78" i="4"/>
  <c r="U77" i="4"/>
  <c r="L77" i="4" s="1"/>
  <c r="T77" i="4" s="1"/>
  <c r="P77" i="4"/>
  <c r="O77" i="4"/>
  <c r="I77" i="4" a="1"/>
  <c r="I77" i="4" s="1"/>
  <c r="H77" i="4"/>
  <c r="F77" i="4"/>
  <c r="G77" i="4" s="1"/>
  <c r="A77" i="4"/>
  <c r="U76" i="4"/>
  <c r="L76" i="4" s="1"/>
  <c r="T76" i="4" s="1"/>
  <c r="P76" i="4"/>
  <c r="O76" i="4"/>
  <c r="I76" i="4" a="1"/>
  <c r="I76" i="4" s="1"/>
  <c r="H76" i="4"/>
  <c r="F76" i="4"/>
  <c r="G76" i="4" s="1"/>
  <c r="A76" i="4"/>
  <c r="U75" i="4"/>
  <c r="L75" i="4" s="1"/>
  <c r="T75" i="4" s="1"/>
  <c r="P75" i="4"/>
  <c r="O75" i="4"/>
  <c r="I75" i="4" a="1"/>
  <c r="I75" i="4" s="1"/>
  <c r="H75" i="4"/>
  <c r="F75" i="4"/>
  <c r="G75" i="4" s="1"/>
  <c r="A75" i="4"/>
  <c r="U74" i="4"/>
  <c r="L74" i="4" s="1"/>
  <c r="T74" i="4" s="1"/>
  <c r="P74" i="4"/>
  <c r="O74" i="4"/>
  <c r="I74" i="4" a="1"/>
  <c r="I74" i="4" s="1"/>
  <c r="H74" i="4"/>
  <c r="F74" i="4"/>
  <c r="G74" i="4" s="1"/>
  <c r="A74" i="4"/>
  <c r="U73" i="4"/>
  <c r="L73" i="4" s="1"/>
  <c r="T73" i="4" s="1"/>
  <c r="P73" i="4"/>
  <c r="O73" i="4"/>
  <c r="I73" i="4" a="1"/>
  <c r="I73" i="4" s="1"/>
  <c r="H73" i="4"/>
  <c r="F73" i="4"/>
  <c r="G73" i="4" s="1"/>
  <c r="A73" i="4"/>
  <c r="U72" i="4"/>
  <c r="L72" i="4" s="1"/>
  <c r="T72" i="4" s="1"/>
  <c r="P72" i="4"/>
  <c r="O72" i="4"/>
  <c r="I72" i="4" a="1"/>
  <c r="I72" i="4" s="1"/>
  <c r="H72" i="4"/>
  <c r="F72" i="4"/>
  <c r="G72" i="4" s="1"/>
  <c r="A72" i="4"/>
  <c r="U71" i="4"/>
  <c r="L71" i="4" s="1"/>
  <c r="T71" i="4" s="1"/>
  <c r="P71" i="4"/>
  <c r="O71" i="4"/>
  <c r="I71" i="4" a="1"/>
  <c r="I71" i="4" s="1"/>
  <c r="H71" i="4"/>
  <c r="F71" i="4"/>
  <c r="G71" i="4" s="1"/>
  <c r="A71" i="4"/>
  <c r="U70" i="4"/>
  <c r="L70" i="4" s="1"/>
  <c r="T70" i="4" s="1"/>
  <c r="P70" i="4"/>
  <c r="O70" i="4"/>
  <c r="I70" i="4" a="1"/>
  <c r="I70" i="4" s="1"/>
  <c r="H70" i="4"/>
  <c r="G70" i="4"/>
  <c r="F70" i="4"/>
  <c r="A70" i="4"/>
  <c r="U69" i="4"/>
  <c r="L69" i="4" s="1"/>
  <c r="T69" i="4" s="1"/>
  <c r="P69" i="4"/>
  <c r="O69" i="4"/>
  <c r="I69" i="4" a="1"/>
  <c r="I69" i="4" s="1"/>
  <c r="H69" i="4"/>
  <c r="F69" i="4"/>
  <c r="G69" i="4" s="1"/>
  <c r="A69" i="4"/>
  <c r="U68" i="4"/>
  <c r="L68" i="4" s="1"/>
  <c r="T68" i="4" s="1"/>
  <c r="P68" i="4"/>
  <c r="O68" i="4"/>
  <c r="I68" i="4" a="1"/>
  <c r="I68" i="4" s="1"/>
  <c r="H68" i="4"/>
  <c r="F68" i="4"/>
  <c r="G68" i="4" s="1"/>
  <c r="A68" i="4"/>
  <c r="U67" i="4"/>
  <c r="L67" i="4" s="1"/>
  <c r="T67" i="4" s="1"/>
  <c r="P67" i="4"/>
  <c r="O67" i="4"/>
  <c r="I67" i="4" a="1"/>
  <c r="I67" i="4" s="1"/>
  <c r="H67" i="4"/>
  <c r="F67" i="4"/>
  <c r="G67" i="4" s="1"/>
  <c r="A67" i="4"/>
  <c r="U66" i="4"/>
  <c r="L66" i="4" s="1"/>
  <c r="T66" i="4" s="1"/>
  <c r="P66" i="4"/>
  <c r="O66" i="4"/>
  <c r="I66" i="4" a="1"/>
  <c r="I66" i="4" s="1"/>
  <c r="H66" i="4"/>
  <c r="F66" i="4"/>
  <c r="G66" i="4" s="1"/>
  <c r="A66" i="4"/>
  <c r="U65" i="4"/>
  <c r="L65" i="4" s="1"/>
  <c r="T65" i="4" s="1"/>
  <c r="P65" i="4"/>
  <c r="O65" i="4"/>
  <c r="I65" i="4" a="1"/>
  <c r="I65" i="4" s="1"/>
  <c r="H65" i="4"/>
  <c r="F65" i="4"/>
  <c r="G65" i="4" s="1"/>
  <c r="A65" i="4"/>
  <c r="U64" i="4"/>
  <c r="L64" i="4" s="1"/>
  <c r="T64" i="4" s="1"/>
  <c r="P64" i="4"/>
  <c r="O64" i="4"/>
  <c r="I64" i="4" a="1"/>
  <c r="I64" i="4" s="1"/>
  <c r="H64" i="4"/>
  <c r="F64" i="4"/>
  <c r="G64" i="4" s="1"/>
  <c r="A64" i="4"/>
  <c r="U63" i="4"/>
  <c r="L63" i="4" s="1"/>
  <c r="T63" i="4" s="1"/>
  <c r="P63" i="4"/>
  <c r="O63" i="4"/>
  <c r="I63" i="4" a="1"/>
  <c r="I63" i="4" s="1"/>
  <c r="H63" i="4"/>
  <c r="F63" i="4"/>
  <c r="G63" i="4" s="1"/>
  <c r="A63" i="4"/>
  <c r="U62" i="4"/>
  <c r="L62" i="4" s="1"/>
  <c r="T62" i="4" s="1"/>
  <c r="P62" i="4"/>
  <c r="O62" i="4"/>
  <c r="I62" i="4" a="1"/>
  <c r="I62" i="4" s="1"/>
  <c r="H62" i="4"/>
  <c r="F62" i="4"/>
  <c r="G62" i="4" s="1"/>
  <c r="A62" i="4"/>
  <c r="U61" i="4"/>
  <c r="L61" i="4" s="1"/>
  <c r="T61" i="4" s="1"/>
  <c r="P61" i="4"/>
  <c r="O61" i="4"/>
  <c r="I61" i="4" a="1"/>
  <c r="I61" i="4" s="1"/>
  <c r="H61" i="4"/>
  <c r="F61" i="4"/>
  <c r="G61" i="4" s="1"/>
  <c r="A61" i="4"/>
  <c r="U60" i="4"/>
  <c r="L60" i="4" s="1"/>
  <c r="T60" i="4" s="1"/>
  <c r="P60" i="4"/>
  <c r="O60" i="4"/>
  <c r="I60" i="4" a="1"/>
  <c r="I60" i="4" s="1"/>
  <c r="H60" i="4"/>
  <c r="F60" i="4"/>
  <c r="G60" i="4" s="1"/>
  <c r="A60" i="4"/>
  <c r="U59" i="4"/>
  <c r="L59" i="4" s="1"/>
  <c r="T59" i="4" s="1"/>
  <c r="P59" i="4"/>
  <c r="O59" i="4"/>
  <c r="I59" i="4" a="1"/>
  <c r="I59" i="4" s="1"/>
  <c r="H59" i="4"/>
  <c r="F59" i="4"/>
  <c r="G59" i="4" s="1"/>
  <c r="A59" i="4"/>
  <c r="U58" i="4"/>
  <c r="L58" i="4" s="1"/>
  <c r="T58" i="4" s="1"/>
  <c r="P58" i="4"/>
  <c r="O58" i="4"/>
  <c r="I58" i="4" a="1"/>
  <c r="I58" i="4" s="1"/>
  <c r="H58" i="4"/>
  <c r="F58" i="4"/>
  <c r="G58" i="4" s="1"/>
  <c r="A58" i="4"/>
  <c r="U57" i="4"/>
  <c r="L57" i="4" s="1"/>
  <c r="T57" i="4" s="1"/>
  <c r="P57" i="4"/>
  <c r="O57" i="4"/>
  <c r="I57" i="4" a="1"/>
  <c r="I57" i="4" s="1"/>
  <c r="H57" i="4"/>
  <c r="F57" i="4"/>
  <c r="G57" i="4" s="1"/>
  <c r="A57" i="4"/>
  <c r="U56" i="4"/>
  <c r="L56" i="4" s="1"/>
  <c r="T56" i="4" s="1"/>
  <c r="P56" i="4"/>
  <c r="O56" i="4"/>
  <c r="I56" i="4" a="1"/>
  <c r="I56" i="4" s="1"/>
  <c r="H56" i="4"/>
  <c r="F56" i="4"/>
  <c r="G56" i="4" s="1"/>
  <c r="A56" i="4"/>
  <c r="U55" i="4"/>
  <c r="L55" i="4" s="1"/>
  <c r="T55" i="4" s="1"/>
  <c r="P55" i="4"/>
  <c r="O55" i="4"/>
  <c r="I55" i="4" a="1"/>
  <c r="I55" i="4" s="1"/>
  <c r="H55" i="4"/>
  <c r="F55" i="4"/>
  <c r="G55" i="4" s="1"/>
  <c r="A55" i="4"/>
  <c r="U54" i="4"/>
  <c r="L54" i="4" s="1"/>
  <c r="T54" i="4" s="1"/>
  <c r="P54" i="4"/>
  <c r="O54" i="4"/>
  <c r="I54" i="4" a="1"/>
  <c r="I54" i="4" s="1"/>
  <c r="H54" i="4"/>
  <c r="F54" i="4"/>
  <c r="G54" i="4" s="1"/>
  <c r="A54" i="4"/>
  <c r="U53" i="4"/>
  <c r="L53" i="4" s="1"/>
  <c r="T53" i="4" s="1"/>
  <c r="P53" i="4"/>
  <c r="O53" i="4"/>
  <c r="I53" i="4" a="1"/>
  <c r="I53" i="4" s="1"/>
  <c r="H53" i="4"/>
  <c r="F53" i="4"/>
  <c r="G53" i="4" s="1"/>
  <c r="A53" i="4"/>
  <c r="U52" i="4"/>
  <c r="L52" i="4" s="1"/>
  <c r="T52" i="4" s="1"/>
  <c r="P52" i="4"/>
  <c r="O52" i="4"/>
  <c r="I52" i="4" a="1"/>
  <c r="I52" i="4" s="1"/>
  <c r="H52" i="4"/>
  <c r="G52" i="4"/>
  <c r="F52" i="4"/>
  <c r="A52" i="4"/>
  <c r="U51" i="4"/>
  <c r="L51" i="4" s="1"/>
  <c r="T51" i="4" s="1"/>
  <c r="P51" i="4"/>
  <c r="O51" i="4"/>
  <c r="I51" i="4" a="1"/>
  <c r="I51" i="4" s="1"/>
  <c r="H51" i="4"/>
  <c r="F51" i="4"/>
  <c r="G51" i="4" s="1"/>
  <c r="A51" i="4"/>
  <c r="U50" i="4"/>
  <c r="L50" i="4" s="1"/>
  <c r="T50" i="4" s="1"/>
  <c r="P50" i="4"/>
  <c r="O50" i="4"/>
  <c r="I50" i="4" a="1"/>
  <c r="I50" i="4" s="1"/>
  <c r="H50" i="4"/>
  <c r="F50" i="4"/>
  <c r="G50" i="4" s="1"/>
  <c r="A50" i="4"/>
  <c r="U49" i="4"/>
  <c r="L49" i="4" s="1"/>
  <c r="T49" i="4" s="1"/>
  <c r="P49" i="4"/>
  <c r="O49" i="4"/>
  <c r="I49" i="4" a="1"/>
  <c r="I49" i="4" s="1"/>
  <c r="H49" i="4"/>
  <c r="F49" i="4"/>
  <c r="G49" i="4" s="1"/>
  <c r="A49" i="4"/>
  <c r="U48" i="4"/>
  <c r="L48" i="4" s="1"/>
  <c r="T48" i="4" s="1"/>
  <c r="P48" i="4"/>
  <c r="O48" i="4"/>
  <c r="I48" i="4" a="1"/>
  <c r="I48" i="4" s="1"/>
  <c r="H48" i="4"/>
  <c r="F48" i="4"/>
  <c r="G48" i="4" s="1"/>
  <c r="A48" i="4"/>
  <c r="U47" i="4"/>
  <c r="L47" i="4" s="1"/>
  <c r="T47" i="4" s="1"/>
  <c r="P47" i="4"/>
  <c r="O47" i="4"/>
  <c r="I47" i="4" a="1"/>
  <c r="I47" i="4" s="1"/>
  <c r="H47" i="4"/>
  <c r="F47" i="4"/>
  <c r="G47" i="4" s="1"/>
  <c r="A47" i="4"/>
  <c r="U46" i="4"/>
  <c r="L46" i="4" s="1"/>
  <c r="T46" i="4" s="1"/>
  <c r="P46" i="4"/>
  <c r="O46" i="4"/>
  <c r="I46" i="4" a="1"/>
  <c r="I46" i="4" s="1"/>
  <c r="H46" i="4"/>
  <c r="F46" i="4"/>
  <c r="G46" i="4" s="1"/>
  <c r="A46" i="4"/>
  <c r="U45" i="4"/>
  <c r="L45" i="4" s="1"/>
  <c r="T45" i="4" s="1"/>
  <c r="P45" i="4"/>
  <c r="O45" i="4"/>
  <c r="I45" i="4" a="1"/>
  <c r="I45" i="4" s="1"/>
  <c r="H45" i="4"/>
  <c r="F45" i="4"/>
  <c r="G45" i="4" s="1"/>
  <c r="A45" i="4"/>
  <c r="U44" i="4"/>
  <c r="L44" i="4" s="1"/>
  <c r="T44" i="4" s="1"/>
  <c r="P44" i="4"/>
  <c r="O44" i="4"/>
  <c r="I44" i="4" a="1"/>
  <c r="I44" i="4" s="1"/>
  <c r="H44" i="4"/>
  <c r="F44" i="4"/>
  <c r="G44" i="4" s="1"/>
  <c r="A44" i="4"/>
  <c r="U43" i="4"/>
  <c r="L43" i="4" s="1"/>
  <c r="T43" i="4" s="1"/>
  <c r="P43" i="4"/>
  <c r="O43" i="4"/>
  <c r="I43" i="4" a="1"/>
  <c r="I43" i="4" s="1"/>
  <c r="H43" i="4"/>
  <c r="F43" i="4"/>
  <c r="G43" i="4" s="1"/>
  <c r="A43" i="4"/>
  <c r="U42" i="4"/>
  <c r="L42" i="4" s="1"/>
  <c r="T42" i="4" s="1"/>
  <c r="P42" i="4"/>
  <c r="O42" i="4"/>
  <c r="I42" i="4" a="1"/>
  <c r="I42" i="4" s="1"/>
  <c r="H42" i="4"/>
  <c r="F42" i="4"/>
  <c r="G42" i="4" s="1"/>
  <c r="A42" i="4"/>
  <c r="U41" i="4"/>
  <c r="L41" i="4" s="1"/>
  <c r="T41" i="4" s="1"/>
  <c r="P41" i="4"/>
  <c r="O41" i="4"/>
  <c r="I41" i="4" a="1"/>
  <c r="I41" i="4" s="1"/>
  <c r="H41" i="4"/>
  <c r="F41" i="4"/>
  <c r="G41" i="4" s="1"/>
  <c r="A41" i="4"/>
  <c r="U40" i="4"/>
  <c r="L40" i="4" s="1"/>
  <c r="T40" i="4" s="1"/>
  <c r="P40" i="4"/>
  <c r="O40" i="4"/>
  <c r="I40" i="4" a="1"/>
  <c r="I40" i="4" s="1"/>
  <c r="H40" i="4"/>
  <c r="F40" i="4"/>
  <c r="G40" i="4" s="1"/>
  <c r="A40" i="4"/>
  <c r="U39" i="4"/>
  <c r="L39" i="4" s="1"/>
  <c r="T39" i="4" s="1"/>
  <c r="P39" i="4"/>
  <c r="O39" i="4"/>
  <c r="I39" i="4" a="1"/>
  <c r="I39" i="4" s="1"/>
  <c r="H39" i="4"/>
  <c r="G39" i="4"/>
  <c r="F39" i="4"/>
  <c r="A39" i="4"/>
  <c r="U38" i="4"/>
  <c r="L38" i="4" s="1"/>
  <c r="T38" i="4" s="1"/>
  <c r="P38" i="4"/>
  <c r="O38" i="4"/>
  <c r="I38" i="4" a="1"/>
  <c r="I38" i="4" s="1"/>
  <c r="H38" i="4"/>
  <c r="F38" i="4"/>
  <c r="G38" i="4" s="1"/>
  <c r="A38" i="4"/>
  <c r="U37" i="4"/>
  <c r="L37" i="4" s="1"/>
  <c r="T37" i="4" s="1"/>
  <c r="P37" i="4"/>
  <c r="O37" i="4"/>
  <c r="I37" i="4" a="1"/>
  <c r="I37" i="4" s="1"/>
  <c r="H37" i="4"/>
  <c r="F37" i="4"/>
  <c r="G37" i="4" s="1"/>
  <c r="A37" i="4"/>
  <c r="U36" i="4"/>
  <c r="L36" i="4" s="1"/>
  <c r="T36" i="4" s="1"/>
  <c r="P36" i="4"/>
  <c r="O36" i="4"/>
  <c r="I36" i="4" a="1"/>
  <c r="I36" i="4" s="1"/>
  <c r="H36" i="4"/>
  <c r="F36" i="4"/>
  <c r="G36" i="4" s="1"/>
  <c r="A36" i="4"/>
  <c r="U35" i="4"/>
  <c r="L35" i="4" s="1"/>
  <c r="T35" i="4" s="1"/>
  <c r="P35" i="4"/>
  <c r="O35" i="4"/>
  <c r="I35" i="4" a="1"/>
  <c r="I35" i="4" s="1"/>
  <c r="H35" i="4"/>
  <c r="F35" i="4"/>
  <c r="G35" i="4" s="1"/>
  <c r="A35" i="4"/>
  <c r="U34" i="4"/>
  <c r="L34" i="4" s="1"/>
  <c r="T34" i="4" s="1"/>
  <c r="P34" i="4"/>
  <c r="O34" i="4"/>
  <c r="I34" i="4" a="1"/>
  <c r="I34" i="4" s="1"/>
  <c r="H34" i="4"/>
  <c r="F34" i="4"/>
  <c r="G34" i="4" s="1"/>
  <c r="A34" i="4"/>
  <c r="U33" i="4"/>
  <c r="L33" i="4" s="1"/>
  <c r="T33" i="4" s="1"/>
  <c r="P33" i="4"/>
  <c r="O33" i="4"/>
  <c r="I33" i="4" a="1"/>
  <c r="I33" i="4" s="1"/>
  <c r="H33" i="4"/>
  <c r="F33" i="4"/>
  <c r="G33" i="4" s="1"/>
  <c r="A33" i="4"/>
  <c r="U32" i="4"/>
  <c r="L32" i="4" s="1"/>
  <c r="T32" i="4" s="1"/>
  <c r="P32" i="4"/>
  <c r="O32" i="4"/>
  <c r="I32" i="4" a="1"/>
  <c r="I32" i="4" s="1"/>
  <c r="H32" i="4"/>
  <c r="F32" i="4"/>
  <c r="G32" i="4" s="1"/>
  <c r="A32" i="4"/>
  <c r="U31" i="4"/>
  <c r="L31" i="4" s="1"/>
  <c r="T31" i="4" s="1"/>
  <c r="P31" i="4"/>
  <c r="O31" i="4"/>
  <c r="I31" i="4" a="1"/>
  <c r="I31" i="4" s="1"/>
  <c r="H31" i="4"/>
  <c r="F31" i="4"/>
  <c r="G31" i="4" s="1"/>
  <c r="A31" i="4"/>
  <c r="U30" i="4"/>
  <c r="L30" i="4" s="1"/>
  <c r="T30" i="4" s="1"/>
  <c r="P30" i="4"/>
  <c r="O30" i="4"/>
  <c r="I30" i="4" a="1"/>
  <c r="I30" i="4" s="1"/>
  <c r="H30" i="4"/>
  <c r="F30" i="4"/>
  <c r="G30" i="4" s="1"/>
  <c r="A30" i="4"/>
  <c r="U29" i="4"/>
  <c r="L29" i="4" s="1"/>
  <c r="T29" i="4" s="1"/>
  <c r="P29" i="4"/>
  <c r="O29" i="4"/>
  <c r="I29" i="4" a="1"/>
  <c r="I29" i="4" s="1"/>
  <c r="H29" i="4"/>
  <c r="F29" i="4"/>
  <c r="G29" i="4" s="1"/>
  <c r="A29" i="4"/>
  <c r="U28" i="4"/>
  <c r="L28" i="4" s="1"/>
  <c r="T28" i="4" s="1"/>
  <c r="P28" i="4"/>
  <c r="O28" i="4"/>
  <c r="I28" i="4" a="1"/>
  <c r="I28" i="4" s="1"/>
  <c r="H28" i="4"/>
  <c r="F28" i="4"/>
  <c r="G28" i="4" s="1"/>
  <c r="A28" i="4"/>
  <c r="U27" i="4"/>
  <c r="L27" i="4" s="1"/>
  <c r="T27" i="4" s="1"/>
  <c r="P27" i="4"/>
  <c r="O27" i="4"/>
  <c r="I27" i="4" a="1"/>
  <c r="I27" i="4" s="1"/>
  <c r="H27" i="4"/>
  <c r="F27" i="4"/>
  <c r="G27" i="4" s="1"/>
  <c r="A27" i="4"/>
  <c r="U26" i="4"/>
  <c r="L26" i="4" s="1"/>
  <c r="T26" i="4" s="1"/>
  <c r="P26" i="4"/>
  <c r="O26" i="4"/>
  <c r="I26" i="4" a="1"/>
  <c r="I26" i="4" s="1"/>
  <c r="H26" i="4"/>
  <c r="F26" i="4"/>
  <c r="G26" i="4" s="1"/>
  <c r="A26" i="4"/>
  <c r="U25" i="4"/>
  <c r="L25" i="4" s="1"/>
  <c r="T25" i="4" s="1"/>
  <c r="P25" i="4"/>
  <c r="O25" i="4"/>
  <c r="I25" i="4" a="1"/>
  <c r="I25" i="4" s="1"/>
  <c r="H25" i="4"/>
  <c r="F25" i="4"/>
  <c r="G25" i="4" s="1"/>
  <c r="A25" i="4"/>
  <c r="U24" i="4"/>
  <c r="L24" i="4" s="1"/>
  <c r="T24" i="4" s="1"/>
  <c r="P24" i="4"/>
  <c r="O24" i="4"/>
  <c r="I24" i="4" a="1"/>
  <c r="I24" i="4" s="1"/>
  <c r="H24" i="4"/>
  <c r="F24" i="4"/>
  <c r="G24" i="4" s="1"/>
  <c r="A24" i="4"/>
  <c r="U23" i="4"/>
  <c r="L23" i="4" s="1"/>
  <c r="T23" i="4" s="1"/>
  <c r="P23" i="4"/>
  <c r="O23" i="4"/>
  <c r="I23" i="4" a="1"/>
  <c r="I23" i="4" s="1"/>
  <c r="H23" i="4"/>
  <c r="F23" i="4"/>
  <c r="G23" i="4" s="1"/>
  <c r="A23" i="4"/>
  <c r="U22" i="4"/>
  <c r="L22" i="4" s="1"/>
  <c r="T22" i="4" s="1"/>
  <c r="P22" i="4"/>
  <c r="O22" i="4"/>
  <c r="I22" i="4" a="1"/>
  <c r="I22" i="4" s="1"/>
  <c r="H22" i="4"/>
  <c r="F22" i="4"/>
  <c r="G22" i="4" s="1"/>
  <c r="A22" i="4"/>
  <c r="U21" i="4"/>
  <c r="L21" i="4" s="1"/>
  <c r="T21" i="4" s="1"/>
  <c r="P21" i="4"/>
  <c r="O21" i="4"/>
  <c r="I21" i="4" a="1"/>
  <c r="I21" i="4" s="1"/>
  <c r="H21" i="4"/>
  <c r="F21" i="4"/>
  <c r="G21" i="4" s="1"/>
  <c r="A21" i="4"/>
  <c r="U20" i="4"/>
  <c r="L20" i="4" s="1"/>
  <c r="T20" i="4" s="1"/>
  <c r="P20" i="4"/>
  <c r="O20" i="4"/>
  <c r="I20" i="4" a="1"/>
  <c r="I20" i="4" s="1"/>
  <c r="H20" i="4"/>
  <c r="F20" i="4"/>
  <c r="G20" i="4" s="1"/>
  <c r="A20" i="4"/>
  <c r="U19" i="4"/>
  <c r="L19" i="4" s="1"/>
  <c r="T19" i="4" s="1"/>
  <c r="P19" i="4"/>
  <c r="O19" i="4"/>
  <c r="I19" i="4" a="1"/>
  <c r="I19" i="4" s="1"/>
  <c r="H19" i="4"/>
  <c r="F19" i="4"/>
  <c r="G19" i="4" s="1"/>
  <c r="A19" i="4"/>
  <c r="U18" i="4"/>
  <c r="L18" i="4" s="1"/>
  <c r="T18" i="4" s="1"/>
  <c r="P18" i="4"/>
  <c r="O18" i="4"/>
  <c r="I18" i="4" a="1"/>
  <c r="I18" i="4" s="1"/>
  <c r="H18" i="4"/>
  <c r="F18" i="4"/>
  <c r="G18" i="4" s="1"/>
  <c r="A18" i="4"/>
  <c r="U17" i="4"/>
  <c r="L17" i="4" s="1"/>
  <c r="T17" i="4" s="1"/>
  <c r="P17" i="4"/>
  <c r="O17" i="4"/>
  <c r="I17" i="4" a="1"/>
  <c r="I17" i="4" s="1"/>
  <c r="H17" i="4"/>
  <c r="F17" i="4"/>
  <c r="G17" i="4" s="1"/>
  <c r="A17" i="4"/>
  <c r="U16" i="4"/>
  <c r="L16" i="4" s="1"/>
  <c r="T16" i="4" s="1"/>
  <c r="P16" i="4"/>
  <c r="O16" i="4"/>
  <c r="I16" i="4" a="1"/>
  <c r="I16" i="4" s="1"/>
  <c r="H16" i="4"/>
  <c r="F16" i="4"/>
  <c r="G16" i="4" s="1"/>
  <c r="A16" i="4"/>
  <c r="U15" i="4"/>
  <c r="L15" i="4" s="1"/>
  <c r="T15" i="4" s="1"/>
  <c r="P15" i="4"/>
  <c r="O15" i="4"/>
  <c r="I15" i="4" a="1"/>
  <c r="I15" i="4" s="1"/>
  <c r="H15" i="4"/>
  <c r="F15" i="4"/>
  <c r="G15" i="4" s="1"/>
  <c r="A15" i="4"/>
  <c r="U14" i="4"/>
  <c r="L14" i="4" s="1"/>
  <c r="T14" i="4" s="1"/>
  <c r="P14" i="4"/>
  <c r="O14" i="4"/>
  <c r="I14" i="4" a="1"/>
  <c r="I14" i="4" s="1"/>
  <c r="H14" i="4"/>
  <c r="F14" i="4"/>
  <c r="G14" i="4" s="1"/>
  <c r="A14" i="4"/>
  <c r="U13" i="4"/>
  <c r="L13" i="4" s="1"/>
  <c r="T13" i="4" s="1"/>
  <c r="P13" i="4"/>
  <c r="O13" i="4"/>
  <c r="I13" i="4" a="1"/>
  <c r="I13" i="4" s="1"/>
  <c r="H13" i="4"/>
  <c r="F13" i="4"/>
  <c r="G13" i="4" s="1"/>
  <c r="A13" i="4"/>
  <c r="U12" i="4"/>
  <c r="L12" i="4" s="1"/>
  <c r="T12" i="4" s="1"/>
  <c r="P12" i="4"/>
  <c r="O12" i="4"/>
  <c r="I12" i="4" a="1"/>
  <c r="I12" i="4" s="1"/>
  <c r="H12" i="4"/>
  <c r="F12" i="4"/>
  <c r="G12" i="4" s="1"/>
  <c r="A12" i="4"/>
  <c r="U11" i="4"/>
  <c r="L11" i="4" s="1"/>
  <c r="T11" i="4" s="1"/>
  <c r="P11" i="4"/>
  <c r="O11" i="4"/>
  <c r="I11" i="4" a="1"/>
  <c r="I11" i="4" s="1"/>
  <c r="H11" i="4"/>
  <c r="F11" i="4"/>
  <c r="G11" i="4" s="1"/>
  <c r="A11" i="4"/>
  <c r="U10" i="4"/>
  <c r="L10" i="4" s="1"/>
  <c r="T10" i="4" s="1"/>
  <c r="P10" i="4"/>
  <c r="O10" i="4"/>
  <c r="I10" i="4" a="1"/>
  <c r="I10" i="4" s="1"/>
  <c r="H10" i="4"/>
  <c r="F10" i="4"/>
  <c r="G10" i="4" s="1"/>
  <c r="A10" i="4"/>
  <c r="U9" i="4"/>
  <c r="L9" i="4" s="1"/>
  <c r="T9" i="4" s="1"/>
  <c r="P9" i="4"/>
  <c r="O9" i="4"/>
  <c r="I9" i="4" a="1"/>
  <c r="I9" i="4" s="1"/>
  <c r="H9" i="4"/>
  <c r="F9" i="4"/>
  <c r="G9" i="4" s="1"/>
  <c r="A9" i="4"/>
  <c r="U8" i="4"/>
  <c r="L8" i="4" s="1"/>
  <c r="T8" i="4" s="1"/>
  <c r="P8" i="4"/>
  <c r="O8" i="4"/>
  <c r="I8" i="4" a="1"/>
  <c r="I8" i="4" s="1"/>
  <c r="H8" i="4"/>
  <c r="F8" i="4"/>
  <c r="G8" i="4" s="1"/>
  <c r="A8" i="4"/>
  <c r="U7" i="4"/>
  <c r="L7" i="4" s="1"/>
  <c r="T7" i="4" s="1"/>
  <c r="P7" i="4"/>
  <c r="O7" i="4"/>
  <c r="I7" i="4" a="1"/>
  <c r="I7" i="4" s="1"/>
  <c r="H7" i="4"/>
  <c r="F7" i="4"/>
  <c r="G7" i="4" s="1"/>
  <c r="A7" i="4"/>
  <c r="U6" i="4"/>
  <c r="L6" i="4" s="1"/>
  <c r="T6" i="4" s="1"/>
  <c r="P6" i="4"/>
  <c r="O6" i="4"/>
  <c r="I6" i="4" a="1"/>
  <c r="I6" i="4" s="1"/>
  <c r="H6" i="4"/>
  <c r="F6" i="4"/>
  <c r="G6" i="4" s="1"/>
  <c r="A6" i="4"/>
  <c r="U5" i="4"/>
  <c r="L5" i="4" s="1"/>
  <c r="T5" i="4" s="1"/>
  <c r="P5" i="4"/>
  <c r="O5" i="4"/>
  <c r="I5" i="4" a="1"/>
  <c r="I5" i="4" s="1"/>
  <c r="H5" i="4"/>
  <c r="F5" i="4"/>
  <c r="G5" i="4" s="1"/>
  <c r="A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<sst xmlns="http://schemas.openxmlformats.org/spreadsheetml/2006/main" count="4762" uniqueCount="47">
  <si>
    <t>Личные вещи - Одежда, обувь, аксессуары - Мужская обувь - Кроссовки</t>
  </si>
  <si>
    <t>Id</t>
  </si>
  <si>
    <t>ListingFee</t>
  </si>
  <si>
    <t>AvitoId</t>
  </si>
  <si>
    <t>ContactPhone</t>
  </si>
  <si>
    <t>Address</t>
  </si>
  <si>
    <t>Title</t>
  </si>
  <si>
    <t>Description</t>
  </si>
  <si>
    <t>Price</t>
  </si>
  <si>
    <t>ImageUrls</t>
  </si>
  <si>
    <t>ContactMethod</t>
  </si>
  <si>
    <t>Category</t>
  </si>
  <si>
    <t>GoodsType</t>
  </si>
  <si>
    <t>Condition</t>
  </si>
  <si>
    <t>AdType</t>
  </si>
  <si>
    <t>Brand</t>
  </si>
  <si>
    <t>Color</t>
  </si>
  <si>
    <t>ColorName</t>
  </si>
  <si>
    <t>MaterialsOdezhda</t>
  </si>
  <si>
    <t>MultiItem</t>
  </si>
  <si>
    <t>ApparelType</t>
  </si>
  <si>
    <t>Size</t>
  </si>
  <si>
    <t>CompanyName</t>
  </si>
  <si>
    <t>AvitoDateEnd</t>
  </si>
  <si>
    <t>AvitoStatus</t>
  </si>
  <si>
    <t>EMail</t>
  </si>
  <si>
    <r>
      <rPr>
        <sz val="11"/>
        <color rgb="FFF28D00"/>
        <rFont val="Calibri"/>
        <family val="2"/>
      </rPr>
      <t>Обязательный</t>
    </r>
  </si>
  <si>
    <t>Необязательный</t>
  </si>
  <si>
    <r>
      <rPr>
        <sz val="11"/>
        <color rgb="FFF28D00"/>
        <rFont val="Calibri"/>
        <family val="2"/>
      </rPr>
      <t>Может быть обязательным</t>
    </r>
    <r>
      <rPr>
        <u/>
        <sz val="11"/>
        <color rgb="FF0099F7"/>
        <rFont val="Calibri"/>
        <family val="2"/>
      </rPr>
      <t>_x000D_
Подробнее</t>
    </r>
  </si>
  <si>
    <t>Подробнее о параметре</t>
  </si>
  <si>
    <t>Одно значение из выпадающего списка в ячейке</t>
  </si>
  <si>
    <t>Одно значение из листа Спр-Мужская обувь-Кроссовки</t>
  </si>
  <si>
    <t>Одно или несколько значений из выпадающего списка в ячейке</t>
  </si>
  <si>
    <t>Package</t>
  </si>
  <si>
    <t>79030042191</t>
  </si>
  <si>
    <t>Варшавское ш., 9с1</t>
  </si>
  <si>
    <t>В сообщениях</t>
  </si>
  <si>
    <t>Одежда, обувь, аксессуары</t>
  </si>
  <si>
    <t>Новое с биркой</t>
  </si>
  <si>
    <t>Товар приобретен на продажу</t>
  </si>
  <si>
    <t>Черно-синий</t>
  </si>
  <si>
    <t>Натуральная кожа</t>
  </si>
  <si>
    <t>Да</t>
  </si>
  <si>
    <t>sold twice</t>
  </si>
  <si>
    <t>Активно</t>
  </si>
  <si>
    <t>soldsoldtwice@gmail.com</t>
  </si>
  <si>
    <t>Smoke grey/white/anthracite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</si>
</sst>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family val="2"/>
    </font>
    <font>
      <u/>
      <sz val="10"/>
      <color theme="10"/>
      <name val="Arial"/>
      <family val="2"/>
    </font>
    <font>
      <sz val="16"/>
      <name val="Calibri"/>
      <family val="2"/>
    </font>
    <font>
      <b/>
      <sz val="11"/>
      <color theme="1"/>
      <name val="Calibri"/>
      <family val="2"/>
    </font>
    <font>
      <sz val="11"/>
      <color rgb="FFF28D00"/>
      <name val="Calibri"/>
      <family val="2"/>
    </font>
    <font>
      <u/>
      <sz val="11"/>
      <color rgb="FF0099F7"/>
      <name val="Calibri"/>
      <family val="2"/>
    </font>
    <font>
      <u/>
      <sz val="11"/>
      <color rgb="FF1265BE"/>
      <name val="Calibri"/>
      <family val="2"/>
    </font>
    <font>
      <b/>
      <sz val="8"/>
      <color theme="1"/>
      <name val="Helvetica Neue"/>
      <family val="2"/>
    </font>
    <font>
      <sz val="8"/>
      <color theme="1"/>
      <name val="Helvetica Neue"/>
      <family val="2"/>
    </font>
    <font>
      <sz val="8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0" fontId="2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wrapText="1"/>
    </xf>
    <xf numFmtId="0" fontId="8" fillId="0" borderId="0" xfId="0" applyFont="1"/>
    <xf numFmtId="0" fontId="9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etr/Desktop/Projects/Avito_ST/ST_v1%20-%2007.2025/Avito_Tables/BaseTables.xlsx" TargetMode="External"/><Relationship Id="rId1" Type="http://schemas.openxmlformats.org/officeDocument/2006/relationships/externalLinkPath" Target="/Users/petr/Desktop/Projects/Avito_ST/ST_v1%20-%2007.2025/Avito_Tables/BaseTab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Инструкция"/>
      <sheetName val="Мужская и женская обувь"/>
      <sheetName val="Основной сток"/>
      <sheetName val="Фотки"/>
      <sheetName val="Размерная сетка"/>
      <sheetName val="Остальной сток"/>
      <sheetName val="SoldTwice"/>
      <sheetName val="IDprice"/>
      <sheetName val="IDinID"/>
      <sheetName val="Спр-Мужская обувь-Кроссовки"/>
    </sheetNames>
    <sheetDataSet>
      <sheetData sheetId="0" refreshError="1"/>
      <sheetData sheetId="1" refreshError="1"/>
      <sheetData sheetId="2">
        <row r="1">
          <cell r="H1" t="str">
            <v>Артикул производителя</v>
          </cell>
        </row>
        <row r="2">
          <cell r="A2">
            <v>1338233</v>
          </cell>
          <cell r="F2" t="str">
            <v>NIKE</v>
          </cell>
          <cell r="H2" t="str">
            <v>DD1391-001</v>
          </cell>
          <cell r="I2" t="str">
            <v>Nike Dunk Low Retro Black Hyper Cobalt
Лимитированное издание культовой модели Nike Dunk Low, выполненное в черно-синей палитре.
Состав: Натуральная кожа
Состояние: Новые
Fit: Сидят размер в размер</v>
          </cell>
          <cell r="J2">
            <v>43</v>
          </cell>
          <cell r="L2">
            <v>9000</v>
          </cell>
          <cell r="M2" t="str">
            <v>Синий</v>
          </cell>
        </row>
        <row r="3">
          <cell r="A3">
            <v>1342231</v>
          </cell>
          <cell r="F3" t="str">
            <v>JORDAN</v>
          </cell>
          <cell r="H3" t="str">
            <v>554725-078</v>
          </cell>
          <cell r="I3" t="str">
            <v>Jordan 1 Mid Light Smoke Grey (GS)</v>
          </cell>
          <cell r="J3">
            <v>38.5</v>
          </cell>
          <cell r="L3">
            <v>13900</v>
          </cell>
          <cell r="M3" t="str">
            <v>Серый</v>
          </cell>
        </row>
        <row r="4">
          <cell r="A4">
            <v>1342235</v>
          </cell>
          <cell r="F4" t="str">
            <v>JORDAN</v>
          </cell>
          <cell r="H4" t="str">
            <v>555088-706</v>
          </cell>
          <cell r="I4" t="str">
            <v>Jordan 1 Retro High OG Brotherhood</v>
          </cell>
          <cell r="J4">
            <v>45.5</v>
          </cell>
          <cell r="L4">
            <v>13000</v>
          </cell>
          <cell r="M4" t="str">
            <v>Желтый</v>
          </cell>
        </row>
        <row r="5">
          <cell r="A5">
            <v>1342237</v>
          </cell>
          <cell r="F5" t="str">
            <v>JORDAN</v>
          </cell>
          <cell r="H5" t="str">
            <v>575441-706</v>
          </cell>
          <cell r="I5" t="str">
            <v>Jordan 1 Retro High OG Brotherhood (GS)</v>
          </cell>
          <cell r="J5">
            <v>36.5</v>
          </cell>
          <cell r="L5">
            <v>11900</v>
          </cell>
          <cell r="M5" t="str">
            <v>Желтый</v>
          </cell>
        </row>
        <row r="6">
          <cell r="A6">
            <v>1342243</v>
          </cell>
          <cell r="F6" t="str">
            <v>JORDAN</v>
          </cell>
          <cell r="H6" t="str">
            <v>BQ6472-105</v>
          </cell>
          <cell r="I6" t="str">
            <v>Jordan 1 Mid Wolf Grey Aluminum (W)</v>
          </cell>
          <cell r="J6">
            <v>36.5</v>
          </cell>
          <cell r="L6">
            <v>13000</v>
          </cell>
          <cell r="M6" t="str">
            <v>Серый</v>
          </cell>
        </row>
        <row r="7">
          <cell r="A7">
            <v>1342244</v>
          </cell>
          <cell r="F7" t="str">
            <v>JORDAN</v>
          </cell>
          <cell r="H7" t="str">
            <v>BQ6472-105</v>
          </cell>
          <cell r="I7" t="str">
            <v>Jordan 1 Mid Wolf Grey Aluminum (W)</v>
          </cell>
          <cell r="J7">
            <v>37.5</v>
          </cell>
          <cell r="L7">
            <v>13000</v>
          </cell>
          <cell r="M7" t="str">
            <v>Серый</v>
          </cell>
        </row>
        <row r="8">
          <cell r="A8">
            <v>1342253</v>
          </cell>
          <cell r="F8" t="str">
            <v>JORDAN</v>
          </cell>
          <cell r="H8" t="str">
            <v>BQ6472-202</v>
          </cell>
          <cell r="I8" t="str">
            <v>Jordan 1 Mid Burgundy Dusty Pink</v>
          </cell>
          <cell r="J8">
            <v>36.5</v>
          </cell>
          <cell r="L8">
            <v>8900</v>
          </cell>
          <cell r="M8" t="str">
            <v>Розовый</v>
          </cell>
        </row>
        <row r="9">
          <cell r="A9">
            <v>1342266</v>
          </cell>
          <cell r="F9" t="str">
            <v>JORDAN</v>
          </cell>
          <cell r="H9" t="str">
            <v>DB4612-300</v>
          </cell>
          <cell r="I9" t="str">
            <v>Jordan 1 Retro High Lucky Green (W)</v>
          </cell>
          <cell r="J9">
            <v>36.5</v>
          </cell>
          <cell r="L9">
            <v>18000</v>
          </cell>
          <cell r="M9" t="str">
            <v>Зелёный</v>
          </cell>
        </row>
        <row r="10">
          <cell r="A10">
            <v>1342278</v>
          </cell>
          <cell r="F10" t="str">
            <v>JORDAN</v>
          </cell>
          <cell r="H10" t="str">
            <v>DC7267-500</v>
          </cell>
          <cell r="I10" t="str">
            <v>Jordan 1 Mid SE Light Mulberry (W)</v>
          </cell>
          <cell r="J10">
            <v>39</v>
          </cell>
          <cell r="L10">
            <v>13000</v>
          </cell>
          <cell r="M10" t="str">
            <v>Розовый</v>
          </cell>
        </row>
        <row r="11">
          <cell r="A11">
            <v>1342280</v>
          </cell>
          <cell r="F11" t="str">
            <v>JORDAN</v>
          </cell>
          <cell r="H11" t="str">
            <v>DC7267-500</v>
          </cell>
          <cell r="I11" t="str">
            <v>Jordan 1 Mid SE Light Mulberry (W)</v>
          </cell>
          <cell r="J11">
            <v>40.5</v>
          </cell>
          <cell r="L11">
            <v>13000</v>
          </cell>
          <cell r="M11" t="str">
            <v>Розовый</v>
          </cell>
        </row>
        <row r="12">
          <cell r="A12">
            <v>1342283</v>
          </cell>
          <cell r="F12" t="str">
            <v>JORDAN</v>
          </cell>
          <cell r="H12" t="str">
            <v>DC9617-600</v>
          </cell>
          <cell r="I12" t="str">
            <v>Jordan 1 Mid SE Arctic Pink (GS)</v>
          </cell>
          <cell r="J12">
            <v>38</v>
          </cell>
          <cell r="L12">
            <v>12900</v>
          </cell>
          <cell r="M12" t="str">
            <v>Розовый</v>
          </cell>
        </row>
        <row r="13">
          <cell r="A13">
            <v>1342289</v>
          </cell>
          <cell r="F13" t="str">
            <v>NIKE</v>
          </cell>
          <cell r="H13" t="str">
            <v>DD1503-001</v>
          </cell>
          <cell r="I13" t="str">
            <v>Nike Dunk Low Easter 2022 (W)</v>
          </cell>
          <cell r="J13">
            <v>38.5</v>
          </cell>
          <cell r="L13">
            <v>10000</v>
          </cell>
          <cell r="M13" t="str">
            <v>Розовый</v>
          </cell>
        </row>
        <row r="14">
          <cell r="A14">
            <v>1342290</v>
          </cell>
          <cell r="F14" t="str">
            <v>NIKE</v>
          </cell>
          <cell r="H14" t="str">
            <v>DD1503-001</v>
          </cell>
          <cell r="I14" t="str">
            <v>Nike Dunk Low Easter 2022 (W)</v>
          </cell>
          <cell r="J14">
            <v>39</v>
          </cell>
          <cell r="L14">
            <v>10000</v>
          </cell>
          <cell r="M14" t="str">
            <v>Розовый</v>
          </cell>
        </row>
        <row r="15">
          <cell r="A15">
            <v>1342310</v>
          </cell>
          <cell r="F15" t="str">
            <v>NIKE</v>
          </cell>
          <cell r="H15" t="str">
            <v>DD1873-102</v>
          </cell>
          <cell r="I15" t="str">
            <v>Nike Dunk Low Next Nature White Black (W)</v>
          </cell>
          <cell r="J15">
            <v>38</v>
          </cell>
          <cell r="L15">
            <v>10000</v>
          </cell>
          <cell r="M15" t="str">
            <v>Черный</v>
          </cell>
        </row>
        <row r="16">
          <cell r="A16">
            <v>1342328</v>
          </cell>
          <cell r="F16" t="str">
            <v>NIKE</v>
          </cell>
          <cell r="H16" t="str">
            <v>DH9765-001</v>
          </cell>
          <cell r="I16" t="str">
            <v>Nike Dunk Low Two-Toned Grey (GS)</v>
          </cell>
          <cell r="J16">
            <v>36.5</v>
          </cell>
          <cell r="L16">
            <v>12000</v>
          </cell>
          <cell r="M16" t="str">
            <v>Серый</v>
          </cell>
        </row>
        <row r="17">
          <cell r="A17">
            <v>1342329</v>
          </cell>
          <cell r="F17" t="str">
            <v>NIKE</v>
          </cell>
          <cell r="H17" t="str">
            <v>DH9765-001</v>
          </cell>
          <cell r="I17" t="str">
            <v>Nike Dunk Low Two-Toned Grey (GS)</v>
          </cell>
          <cell r="J17">
            <v>37.5</v>
          </cell>
          <cell r="L17">
            <v>12000</v>
          </cell>
          <cell r="M17" t="str">
            <v>Серый</v>
          </cell>
        </row>
        <row r="18">
          <cell r="A18">
            <v>1342346</v>
          </cell>
          <cell r="F18" t="str">
            <v>JORDAN</v>
          </cell>
          <cell r="H18" t="str">
            <v>DM9077-108</v>
          </cell>
          <cell r="I18" t="str">
            <v>Jordan 1 Mid Light Madder Root (GS)</v>
          </cell>
          <cell r="J18">
            <v>37.5</v>
          </cell>
          <cell r="L18">
            <v>9000</v>
          </cell>
          <cell r="M18" t="str">
            <v>Розовый</v>
          </cell>
        </row>
        <row r="19">
          <cell r="A19">
            <v>1342348</v>
          </cell>
          <cell r="F19" t="str">
            <v>JORDAN</v>
          </cell>
          <cell r="H19" t="str">
            <v>DM9077-108</v>
          </cell>
          <cell r="I19" t="str">
            <v>Jordan 1 Mid Light Madder Root (GS)</v>
          </cell>
          <cell r="J19">
            <v>38.5</v>
          </cell>
          <cell r="L19">
            <v>9000</v>
          </cell>
          <cell r="M19" t="str">
            <v>Розовый</v>
          </cell>
        </row>
        <row r="20">
          <cell r="A20">
            <v>1342352</v>
          </cell>
          <cell r="F20" t="str">
            <v>JORDAN</v>
          </cell>
          <cell r="H20" t="str">
            <v>DN4045-001</v>
          </cell>
          <cell r="I20" t="str">
            <v>Jordan 1 Mid SE Light Iron Ore (W)</v>
          </cell>
          <cell r="J20">
            <v>39</v>
          </cell>
          <cell r="L20">
            <v>12000</v>
          </cell>
          <cell r="M20" t="str">
            <v>Серый</v>
          </cell>
        </row>
        <row r="21">
          <cell r="A21">
            <v>1342354</v>
          </cell>
          <cell r="F21" t="str">
            <v>JORDAN</v>
          </cell>
          <cell r="H21" t="str">
            <v>DR0174-500</v>
          </cell>
          <cell r="I21" t="str">
            <v>Jordan 1 Mid Valentine's Day (2022) (W)</v>
          </cell>
          <cell r="J21">
            <v>36</v>
          </cell>
          <cell r="L21">
            <v>11000</v>
          </cell>
          <cell r="M21" t="str">
            <v>Розовый</v>
          </cell>
        </row>
        <row r="22">
          <cell r="A22">
            <v>1342355</v>
          </cell>
          <cell r="F22" t="str">
            <v>JORDAN</v>
          </cell>
          <cell r="H22" t="str">
            <v>DR0174-500</v>
          </cell>
          <cell r="I22" t="str">
            <v>Jordan 1 Mid Valentine's Day (2022) (W)</v>
          </cell>
          <cell r="J22">
            <v>36.5</v>
          </cell>
          <cell r="L22">
            <v>11000</v>
          </cell>
          <cell r="M22" t="str">
            <v>Розовый</v>
          </cell>
        </row>
        <row r="23">
          <cell r="A23">
            <v>1342364</v>
          </cell>
          <cell r="F23" t="str">
            <v>JORDAN</v>
          </cell>
          <cell r="H23" t="str">
            <v>DR0502-101</v>
          </cell>
          <cell r="I23" t="str">
            <v>Jordan 1 Low SE Homage Split White Black (W)</v>
          </cell>
          <cell r="J23">
            <v>43</v>
          </cell>
          <cell r="L23">
            <v>10000</v>
          </cell>
          <cell r="M23" t="str">
            <v>Черный</v>
          </cell>
        </row>
        <row r="24">
          <cell r="A24">
            <v>1354186</v>
          </cell>
          <cell r="F24" t="str">
            <v>JORDAN</v>
          </cell>
          <cell r="H24" t="str">
            <v>DR0501-101</v>
          </cell>
          <cell r="I24" t="str">
            <v>Jordan 1 Mid Split Black White (W)</v>
          </cell>
          <cell r="J24">
            <v>40.5</v>
          </cell>
          <cell r="L24">
            <v>13000</v>
          </cell>
          <cell r="M24" t="str">
            <v>Черный</v>
          </cell>
        </row>
        <row r="25">
          <cell r="A25">
            <v>1358282</v>
          </cell>
          <cell r="F25" t="str">
            <v>NIKE</v>
          </cell>
          <cell r="H25" t="str">
            <v>DD1503-114</v>
          </cell>
          <cell r="I25" t="str">
            <v>Nike Dunk Low Harvest Moon (W)</v>
          </cell>
          <cell r="J25">
            <v>36</v>
          </cell>
          <cell r="L25">
            <v>14000</v>
          </cell>
          <cell r="M25" t="str">
            <v>Оранжевый</v>
          </cell>
        </row>
        <row r="26">
          <cell r="A26">
            <v>1358287</v>
          </cell>
          <cell r="F26" t="str">
            <v>NIKE</v>
          </cell>
          <cell r="H26" t="str">
            <v>DD1503-103</v>
          </cell>
          <cell r="I26" t="str">
            <v>Nike Dunk Low Photon Dust (W)</v>
          </cell>
          <cell r="J26">
            <v>40.5</v>
          </cell>
          <cell r="L26">
            <v>14000</v>
          </cell>
          <cell r="M26" t="str">
            <v>Серый</v>
          </cell>
        </row>
        <row r="27">
          <cell r="A27">
            <v>1361657</v>
          </cell>
          <cell r="F27" t="str">
            <v>JORDAN</v>
          </cell>
          <cell r="H27" t="str">
            <v>DM9077-108</v>
          </cell>
          <cell r="I27" t="str">
            <v>Jordan 1 Mid Light Madder Root (GS)</v>
          </cell>
          <cell r="J27">
            <v>38.5</v>
          </cell>
          <cell r="L27">
            <v>10000</v>
          </cell>
          <cell r="M27" t="str">
            <v>Розовый</v>
          </cell>
        </row>
        <row r="28">
          <cell r="A28">
            <v>1369231</v>
          </cell>
          <cell r="F28" t="str">
            <v>NIKE</v>
          </cell>
          <cell r="H28" t="str">
            <v>CW1590-100</v>
          </cell>
          <cell r="I28" t="str">
            <v>Nike Dunk Low Black White (GS)</v>
          </cell>
          <cell r="J28">
            <v>40</v>
          </cell>
          <cell r="L28">
            <v>10000</v>
          </cell>
          <cell r="M28" t="str">
            <v>Черный</v>
          </cell>
        </row>
        <row r="29">
          <cell r="A29">
            <v>1369234</v>
          </cell>
          <cell r="F29" t="str">
            <v>JORDAN</v>
          </cell>
          <cell r="H29" t="str">
            <v>DC7267-500</v>
          </cell>
          <cell r="I29" t="str">
            <v>Jordan 1 Mid SE Light Mulberry (W)</v>
          </cell>
          <cell r="J29">
            <v>38</v>
          </cell>
          <cell r="L29">
            <v>15000</v>
          </cell>
          <cell r="M29" t="str">
            <v>Розовый</v>
          </cell>
        </row>
        <row r="30">
          <cell r="A30">
            <v>1369235</v>
          </cell>
          <cell r="F30" t="str">
            <v>JORDAN</v>
          </cell>
          <cell r="H30" t="str">
            <v>DC7267-500</v>
          </cell>
          <cell r="I30" t="str">
            <v>Jordan 1 Mid SE Light Mulberry (W)</v>
          </cell>
          <cell r="J30">
            <v>38</v>
          </cell>
          <cell r="L30">
            <v>15000</v>
          </cell>
          <cell r="M30" t="str">
            <v>Розовый</v>
          </cell>
        </row>
        <row r="31">
          <cell r="A31">
            <v>1369247</v>
          </cell>
          <cell r="F31" t="str">
            <v>JORDAN</v>
          </cell>
          <cell r="H31" t="str">
            <v>DR0174-500</v>
          </cell>
          <cell r="I31" t="str">
            <v>Jordan 1 Mid Valentine's Day (2022) (W)</v>
          </cell>
          <cell r="J31">
            <v>37.5</v>
          </cell>
          <cell r="L31">
            <v>13000</v>
          </cell>
          <cell r="M31" t="str">
            <v>Розовый</v>
          </cell>
        </row>
        <row r="32">
          <cell r="A32">
            <v>1404058</v>
          </cell>
          <cell r="F32" t="str">
            <v>JORDAN</v>
          </cell>
          <cell r="H32" t="str">
            <v>DD2192-001</v>
          </cell>
          <cell r="I32" t="str">
            <v>Jordan 1 Mid Carbon Fiber (gs)</v>
          </cell>
          <cell r="J32">
            <v>37.5</v>
          </cell>
          <cell r="L32">
            <v>20000</v>
          </cell>
          <cell r="M32" t="str">
            <v>Черный</v>
          </cell>
        </row>
        <row r="33">
          <cell r="A33">
            <v>1404064</v>
          </cell>
          <cell r="F33" t="str">
            <v>JORDAN</v>
          </cell>
          <cell r="H33" t="str">
            <v>DM6216-001</v>
          </cell>
          <cell r="I33" t="str">
            <v>Jordan 1 Mid Zen Master (GS)</v>
          </cell>
          <cell r="J33">
            <v>40</v>
          </cell>
          <cell r="L33">
            <v>12000</v>
          </cell>
          <cell r="M33" t="str">
            <v>Черный</v>
          </cell>
        </row>
        <row r="34">
          <cell r="A34">
            <v>1404067</v>
          </cell>
          <cell r="F34" t="str">
            <v>JORDAN</v>
          </cell>
          <cell r="H34" t="str">
            <v>CD0461-001</v>
          </cell>
          <cell r="I34" t="str">
            <v>Jordan 1 High Silver Toe (W)</v>
          </cell>
          <cell r="J34">
            <v>38</v>
          </cell>
          <cell r="L34">
            <v>20000</v>
          </cell>
          <cell r="M34" t="str">
            <v>Черный</v>
          </cell>
        </row>
        <row r="35">
          <cell r="A35">
            <v>1412473</v>
          </cell>
          <cell r="F35" t="str">
            <v>NIKE</v>
          </cell>
          <cell r="H35" t="str">
            <v>DM1602-103</v>
          </cell>
          <cell r="I35" t="str">
            <v>Nike Dunk Low OFF-WHITE 29</v>
          </cell>
          <cell r="J35">
            <v>38.5</v>
          </cell>
          <cell r="L35">
            <v>80000</v>
          </cell>
          <cell r="M35" t="str">
            <v>Серый</v>
          </cell>
        </row>
        <row r="36">
          <cell r="A36">
            <v>1436903</v>
          </cell>
          <cell r="F36" t="str">
            <v>NIKE</v>
          </cell>
          <cell r="H36" t="str">
            <v>CW1590-100</v>
          </cell>
          <cell r="I36" t="str">
            <v>Nike Dunk Low Black White (GS)</v>
          </cell>
          <cell r="J36">
            <v>40</v>
          </cell>
          <cell r="L36">
            <v>12500</v>
          </cell>
          <cell r="M36" t="str">
            <v>Черный</v>
          </cell>
        </row>
        <row r="37">
          <cell r="A37">
            <v>1453812</v>
          </cell>
          <cell r="F37" t="str">
            <v>NIKE</v>
          </cell>
          <cell r="H37" t="str">
            <v>DH4401-102</v>
          </cell>
          <cell r="I37" t="str">
            <v>Nike Dunk Low ESS Green Paisley</v>
          </cell>
          <cell r="J37">
            <v>38</v>
          </cell>
          <cell r="L37">
            <v>15000</v>
          </cell>
          <cell r="M37" t="str">
            <v>Зелёный</v>
          </cell>
        </row>
        <row r="38">
          <cell r="A38">
            <v>1470466</v>
          </cell>
          <cell r="F38" t="str">
            <v>NIKE</v>
          </cell>
          <cell r="H38" t="str">
            <v>DQ7579-300</v>
          </cell>
          <cell r="I38" t="str">
            <v>Nike Dunk Low Fleece Green</v>
          </cell>
          <cell r="J38">
            <v>40</v>
          </cell>
          <cell r="L38">
            <v>13000</v>
          </cell>
          <cell r="M38" t="str">
            <v>Зелёный</v>
          </cell>
        </row>
        <row r="39">
          <cell r="A39">
            <v>1470471</v>
          </cell>
          <cell r="F39" t="str">
            <v>NIKE</v>
          </cell>
          <cell r="H39" t="str">
            <v>DD1391-103</v>
          </cell>
          <cell r="I39" t="str">
            <v>Nike Dunk Low Grey Fog</v>
          </cell>
          <cell r="J39">
            <v>42.5</v>
          </cell>
          <cell r="L39">
            <v>15000</v>
          </cell>
          <cell r="M39" t="str">
            <v>Серый</v>
          </cell>
        </row>
        <row r="40">
          <cell r="A40">
            <v>1470473</v>
          </cell>
          <cell r="F40" t="str">
            <v>NIKE</v>
          </cell>
          <cell r="H40" t="str">
            <v>DD1391-103</v>
          </cell>
          <cell r="I40" t="str">
            <v>Nike Dunk Low Grey Fog</v>
          </cell>
          <cell r="J40">
            <v>44</v>
          </cell>
          <cell r="L40">
            <v>15000</v>
          </cell>
          <cell r="M40" t="str">
            <v>Серый</v>
          </cell>
        </row>
        <row r="41">
          <cell r="A41">
            <v>1472021</v>
          </cell>
          <cell r="F41" t="str">
            <v>JORDAN</v>
          </cell>
          <cell r="H41" t="str">
            <v>DQ8423-301</v>
          </cell>
          <cell r="I41" t="str">
            <v>Air Jordan 1 Mid Lucky Green (GS)</v>
          </cell>
          <cell r="J41">
            <v>37.5</v>
          </cell>
          <cell r="L41">
            <v>13000</v>
          </cell>
          <cell r="M41" t="str">
            <v>Зелёный</v>
          </cell>
        </row>
        <row r="42">
          <cell r="A42">
            <v>1472023</v>
          </cell>
          <cell r="F42" t="str">
            <v>JORDAN</v>
          </cell>
          <cell r="H42" t="str">
            <v>DQ8423-301</v>
          </cell>
          <cell r="I42" t="str">
            <v>Air Jordan 1 Mid Lucky Green (GS)</v>
          </cell>
          <cell r="J42">
            <v>38.5</v>
          </cell>
          <cell r="L42">
            <v>13000</v>
          </cell>
          <cell r="M42" t="str">
            <v>Зелёный</v>
          </cell>
        </row>
        <row r="43">
          <cell r="A43">
            <v>1472025</v>
          </cell>
          <cell r="F43" t="str">
            <v>NIKE</v>
          </cell>
          <cell r="H43" t="str">
            <v>DD1503-103</v>
          </cell>
          <cell r="I43" t="str">
            <v>Nike Dunk Low Photon Dust (W)</v>
          </cell>
          <cell r="J43">
            <v>37.5</v>
          </cell>
          <cell r="L43">
            <v>24000</v>
          </cell>
          <cell r="M43" t="str">
            <v>Серый</v>
          </cell>
        </row>
        <row r="44">
          <cell r="A44">
            <v>1474024</v>
          </cell>
          <cell r="F44" t="str">
            <v>NIKE</v>
          </cell>
          <cell r="H44" t="str">
            <v>FB7173-131</v>
          </cell>
          <cell r="I44" t="str">
            <v>Nike Dunk Low Malachite University Gold (W)</v>
          </cell>
          <cell r="J44">
            <v>38.5</v>
          </cell>
          <cell r="L44">
            <v>14000</v>
          </cell>
          <cell r="M44" t="str">
            <v>Зелёный</v>
          </cell>
        </row>
        <row r="45">
          <cell r="A45">
            <v>1474026</v>
          </cell>
          <cell r="F45" t="str">
            <v>NIKE</v>
          </cell>
          <cell r="H45" t="str">
            <v>FB7173-131</v>
          </cell>
          <cell r="I45" t="str">
            <v>Nike Dunk Low Malachite University Gold (W)</v>
          </cell>
          <cell r="J45">
            <v>40</v>
          </cell>
          <cell r="L45">
            <v>14000</v>
          </cell>
          <cell r="M45" t="str">
            <v>Зелёный</v>
          </cell>
        </row>
        <row r="46">
          <cell r="A46">
            <v>1474029</v>
          </cell>
          <cell r="F46" t="str">
            <v>NIKE</v>
          </cell>
          <cell r="H46" t="str">
            <v>FJ4555-100</v>
          </cell>
          <cell r="I46" t="str">
            <v>Nike Dunk Low PRM Team Red (W)</v>
          </cell>
          <cell r="J46">
            <v>38.5</v>
          </cell>
          <cell r="L46">
            <v>12000</v>
          </cell>
          <cell r="M46" t="str">
            <v>Красный</v>
          </cell>
        </row>
        <row r="47">
          <cell r="A47">
            <v>1474037</v>
          </cell>
          <cell r="F47" t="str">
            <v>NIKE</v>
          </cell>
          <cell r="H47" t="str">
            <v>DQ7579-300</v>
          </cell>
          <cell r="I47" t="str">
            <v>Nike Dunk Low Fleece Green</v>
          </cell>
          <cell r="J47">
            <v>38</v>
          </cell>
          <cell r="L47">
            <v>13000</v>
          </cell>
          <cell r="M47" t="str">
            <v>Зелёный</v>
          </cell>
        </row>
        <row r="48">
          <cell r="A48">
            <v>1481369</v>
          </cell>
          <cell r="F48" t="str">
            <v>JORDAN</v>
          </cell>
          <cell r="H48" t="str">
            <v>DV1337-104</v>
          </cell>
          <cell r="I48" t="str">
            <v>Air Jordan 1 Mid SE Ice Blue (2023) (GS)
5 Y / 37.5 EU / 23.5 CM
5.5 Y / 38 EU / 24 CM
6 Y / 38.5 EU / 24 CM
6.5 Y / 39 EU / 24.5 CM
7 Y / 40 EU / 25 CM
7.5 Y / 40.5 EU / 25.5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48">
            <v>38.5</v>
          </cell>
          <cell r="L48">
            <v>13500</v>
          </cell>
          <cell r="M48" t="str">
            <v>Голубой</v>
          </cell>
        </row>
        <row r="49">
          <cell r="A49">
            <v>1481384</v>
          </cell>
          <cell r="F49" t="str">
            <v>NIKE</v>
          </cell>
          <cell r="H49" t="str">
            <v>CZ2496-001</v>
          </cell>
          <cell r="I49" t="str">
            <v>Nike Dunk Low Free 99 (GS)</v>
          </cell>
          <cell r="J49">
            <v>40</v>
          </cell>
          <cell r="L49">
            <v>12000</v>
          </cell>
          <cell r="M49" t="str">
            <v>Черный</v>
          </cell>
        </row>
        <row r="50">
          <cell r="A50">
            <v>1484894</v>
          </cell>
          <cell r="F50" t="str">
            <v>NIKE</v>
          </cell>
          <cell r="H50" t="str">
            <v>DQ7579-300</v>
          </cell>
          <cell r="I50" t="str">
            <v>Nike Dunk Low Fleece Green</v>
          </cell>
          <cell r="J50">
            <v>39</v>
          </cell>
          <cell r="L50">
            <v>13000</v>
          </cell>
          <cell r="M50" t="str">
            <v>Зелёный</v>
          </cell>
        </row>
        <row r="51">
          <cell r="A51">
            <v>1484932</v>
          </cell>
          <cell r="F51" t="str">
            <v>NIKE</v>
          </cell>
          <cell r="H51" t="str">
            <v>DD1503-116</v>
          </cell>
          <cell r="I51" t="str">
            <v>Nike Dunk Low Venice (W)</v>
          </cell>
          <cell r="J51">
            <v>37.5</v>
          </cell>
          <cell r="L51">
            <v>15000</v>
          </cell>
          <cell r="M51" t="str">
            <v>Серый</v>
          </cell>
        </row>
        <row r="52">
          <cell r="A52">
            <v>1485562</v>
          </cell>
          <cell r="F52" t="str">
            <v>JORDAN</v>
          </cell>
          <cell r="H52" t="str">
            <v>553560-113</v>
          </cell>
          <cell r="I52" t="str">
            <v>Air Jordan 1 Low Mystic Green (GS)
5.5 Y / 38 EU / 24 CM
6 Y / 38.5 EU / 24 CM
6.5 Y / 39 EU / 24.5 CM
7 Y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52">
            <v>38</v>
          </cell>
          <cell r="L52">
            <v>13500</v>
          </cell>
          <cell r="M52" t="str">
            <v>Зелёный</v>
          </cell>
        </row>
        <row r="53">
          <cell r="A53">
            <v>1485563</v>
          </cell>
          <cell r="F53" t="str">
            <v>JORDAN</v>
          </cell>
          <cell r="H53" t="str">
            <v>553560-113</v>
          </cell>
          <cell r="I53" t="str">
            <v>Air Jordan 1 Low Mystic Green (GS)
5.5 Y / 38 EU / 24 CM
6 Y / 38.5 EU / 24 CM
6.5 Y / 39 EU / 24.5 CM
7 Y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53">
            <v>38.5</v>
          </cell>
          <cell r="L53">
            <v>13500</v>
          </cell>
          <cell r="M53" t="str">
            <v>Зелёный</v>
          </cell>
        </row>
        <row r="54">
          <cell r="A54">
            <v>1485655</v>
          </cell>
          <cell r="F54" t="str">
            <v>JORDAN</v>
          </cell>
          <cell r="H54" t="str">
            <v>DC0774-141</v>
          </cell>
          <cell r="I54" t="str">
            <v>Air Jordan 1 Low White Ice Blue (W)
6.5 US W / 37.5 EU / 23.5 CM
7 US W / 38 EU / 24 CM
7.5 US W / 38.5 EU / 24 CM
8 US W / 39 EU / 24.5 CM
8.5 US W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54">
            <v>37.5</v>
          </cell>
          <cell r="L54">
            <v>15500</v>
          </cell>
          <cell r="M54" t="str">
            <v>Голубой</v>
          </cell>
        </row>
        <row r="55">
          <cell r="A55">
            <v>1486260</v>
          </cell>
          <cell r="F55" t="str">
            <v>NIKE</v>
          </cell>
          <cell r="H55" t="str">
            <v>FJ4553-133</v>
          </cell>
          <cell r="I55" t="str">
            <v>Nike Dunk Low Needlework Sail Aura (W)
6.5 US W / 37.5 EU / 23.5 CM
7 US W / 38 EU / 24 CM
7.5 US W / 38.5 EU / 24 CM
8 US W / 39 EU / 24.5 CM
8.5 US W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55">
            <v>39</v>
          </cell>
          <cell r="L55">
            <v>12000</v>
          </cell>
          <cell r="M55" t="str">
            <v>Серый</v>
          </cell>
        </row>
        <row r="56">
          <cell r="A56">
            <v>1486262</v>
          </cell>
          <cell r="F56" t="str">
            <v>NIKE</v>
          </cell>
          <cell r="H56" t="str">
            <v>FD1449-100</v>
          </cell>
          <cell r="I56" t="str">
            <v>Nike Dunk Low Essential Paisley Pack Pink (W)
7.5 US W / 38.5 EU / 24 CM
8 US W / 39 EU / 24.5 CM
8.5 US W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56">
            <v>38.5</v>
          </cell>
          <cell r="L56">
            <v>15000</v>
          </cell>
          <cell r="M56" t="str">
            <v>Розовый</v>
          </cell>
        </row>
        <row r="57">
          <cell r="A57">
            <v>1486265</v>
          </cell>
          <cell r="F57" t="str">
            <v>JORDAN</v>
          </cell>
          <cell r="H57" t="str">
            <v>FD1437-031</v>
          </cell>
          <cell r="I57" t="str">
            <v>Air Jordan 1 Retro High OG Lucky Green (GS)
4.5 US / 36.5 EU / 23.5 CM
5 US / 37.5 EU / 23.5 CM
5.5 US / 38 EU / 24 CM
6 US / 38.5 EU / 24 CM
6.5 US / 39 EU / 24.5 CM
7 US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57">
            <v>36.5</v>
          </cell>
          <cell r="L57">
            <v>12000</v>
          </cell>
          <cell r="M57" t="str">
            <v>Зелёный</v>
          </cell>
        </row>
        <row r="58">
          <cell r="A58">
            <v>1486267</v>
          </cell>
          <cell r="F58" t="str">
            <v>JORDAN</v>
          </cell>
          <cell r="H58" t="str">
            <v>FD1437-031</v>
          </cell>
          <cell r="I58" t="str">
            <v>Air Jordan 1 Retro High OG Lucky Green (GS)
4.5 US / 36.5 EU / 23.5 CM
5 US / 37.5 EU / 23.5 CM
5.5 US / 38 EU / 24 CM
6 US / 38.5 EU / 24 CM
6.5 US / 39 EU / 24.5 CM
7 US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58">
            <v>37.5</v>
          </cell>
          <cell r="L58">
            <v>12000</v>
          </cell>
          <cell r="M58" t="str">
            <v>Зелёный</v>
          </cell>
        </row>
        <row r="59">
          <cell r="A59">
            <v>1486268</v>
          </cell>
          <cell r="F59" t="str">
            <v>JORDAN</v>
          </cell>
          <cell r="H59" t="str">
            <v>FD1437-031</v>
          </cell>
          <cell r="I59" t="str">
            <v>Air Jordan 1 Retro High OG Lucky Green (GS)
4.5 US / 36.5 EU / 23.5 CM
5 US / 37.5 EU / 23.5 CM
5.5 US / 38 EU / 24 CM
6 US / 38.5 EU / 24 CM
6.5 US / 39 EU / 24.5 CM
7 US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59">
            <v>38</v>
          </cell>
          <cell r="L59">
            <v>12000</v>
          </cell>
          <cell r="M59" t="str">
            <v>Зелёный</v>
          </cell>
        </row>
        <row r="60">
          <cell r="A60">
            <v>1486269</v>
          </cell>
          <cell r="F60" t="str">
            <v>JORDAN</v>
          </cell>
          <cell r="H60" t="str">
            <v>FD1437-031</v>
          </cell>
          <cell r="I60" t="str">
            <v>Air Jordan 1 Retro High OG Lucky Green (GS)
4.5 US / 36.5 EU / 23.5 CM
5 US / 37.5 EU / 23.5 CM
5.5 US / 38 EU / 24 CM
6 US / 38.5 EU / 24 CM
6.5 US / 39 EU / 24.5 CM
7 US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60">
            <v>38</v>
          </cell>
          <cell r="L60">
            <v>12000</v>
          </cell>
          <cell r="M60" t="str">
            <v>Зелёный</v>
          </cell>
        </row>
        <row r="61">
          <cell r="A61">
            <v>1486271</v>
          </cell>
          <cell r="F61" t="str">
            <v>JORDAN</v>
          </cell>
          <cell r="H61" t="str">
            <v>FD1437-031</v>
          </cell>
          <cell r="I61" t="str">
            <v>Air Jordan 1 Retro High OG Lucky Green (GS)
4.5 US / 36.5 EU / 23.5 CM
5 US / 37.5 EU / 23.5 CM
5.5 US / 38 EU / 24 CM
6 US / 38.5 EU / 24 CM
6.5 US / 39 EU / 24.5 CM
7 US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61">
            <v>38.5</v>
          </cell>
          <cell r="L61">
            <v>12000</v>
          </cell>
          <cell r="M61" t="str">
            <v>Зелёный</v>
          </cell>
        </row>
        <row r="62">
          <cell r="A62">
            <v>1486272</v>
          </cell>
          <cell r="F62" t="str">
            <v>JORDAN</v>
          </cell>
          <cell r="H62" t="str">
            <v>FD1437-031</v>
          </cell>
          <cell r="I62" t="str">
            <v>Air Jordan 1 Retro High OG Lucky Green (GS)
4.5 US / 36.5 EU / 23.5 CM
5 US / 37.5 EU / 23.5 CM
5.5 US / 38 EU / 24 CM
6 US / 38.5 EU / 24 CM
6.5 US / 39 EU / 24.5 CM
7 US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62">
            <v>39</v>
          </cell>
          <cell r="L62">
            <v>12000</v>
          </cell>
          <cell r="M62" t="str">
            <v>Зелёный</v>
          </cell>
        </row>
        <row r="63">
          <cell r="A63">
            <v>1486273</v>
          </cell>
          <cell r="F63" t="str">
            <v>JORDAN</v>
          </cell>
          <cell r="H63" t="str">
            <v>FD1437-031</v>
          </cell>
          <cell r="I63" t="str">
            <v>Air Jordan 1 Retro High OG Lucky Green (GS)
4.5 US / 36.5 EU / 23.5 CM
5 US / 37.5 EU / 23.5 CM
5.5 US / 38 EU / 24 CM
6 US / 38.5 EU / 24 CM
6.5 US / 39 EU / 24.5 CM
7 US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63">
            <v>39</v>
          </cell>
          <cell r="L63">
            <v>12000</v>
          </cell>
          <cell r="M63" t="str">
            <v>Зелёный</v>
          </cell>
        </row>
        <row r="64">
          <cell r="A64">
            <v>1490377</v>
          </cell>
          <cell r="F64" t="str">
            <v>JORDAN</v>
          </cell>
          <cell r="H64" t="str">
            <v>DQ8423-301</v>
          </cell>
          <cell r="I64" t="str">
            <v>Air Jordan 1 Mid Lucky Green (GS)</v>
          </cell>
          <cell r="J64">
            <v>39</v>
          </cell>
          <cell r="L64">
            <v>13000</v>
          </cell>
          <cell r="M64" t="str">
            <v>Зелёный</v>
          </cell>
        </row>
        <row r="65">
          <cell r="A65">
            <v>1494447</v>
          </cell>
          <cell r="F65" t="str">
            <v>NIKE</v>
          </cell>
          <cell r="H65" t="str">
            <v>FJ4553-133</v>
          </cell>
          <cell r="I65" t="str">
            <v>Nike Dunk Low Needlework Sail Aura (W)
6.5 US W / 37.5 EU / 23.5 CM
7 US W / 38 EU / 24 CM
7.5 US W / 38.5 EU / 24 CM
8 US W / 39 EU / 24.5 CM
8.5 US W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65">
            <v>37.5</v>
          </cell>
          <cell r="L65">
            <v>12000</v>
          </cell>
          <cell r="M65" t="str">
            <v>Серый</v>
          </cell>
        </row>
        <row r="66">
          <cell r="A66">
            <v>1510503</v>
          </cell>
          <cell r="F66" t="str">
            <v>NIKE</v>
          </cell>
          <cell r="H66" t="str">
            <v>DD1503-103</v>
          </cell>
          <cell r="I66" t="str">
            <v>Nike Dunk Low Photon Dust (W)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66">
            <v>39</v>
          </cell>
          <cell r="L66">
            <v>20000</v>
          </cell>
          <cell r="M66" t="str">
            <v>Серый</v>
          </cell>
        </row>
        <row r="67">
          <cell r="A67">
            <v>1510505</v>
          </cell>
          <cell r="F67" t="str">
            <v>NIKE</v>
          </cell>
          <cell r="H67" t="str">
            <v>DD1503-103</v>
          </cell>
          <cell r="I67" t="str">
            <v>Nike Dunk Low Photon Dust (W)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67">
            <v>40</v>
          </cell>
          <cell r="L67">
            <v>20000</v>
          </cell>
          <cell r="M67" t="str">
            <v>Серый</v>
          </cell>
        </row>
        <row r="68">
          <cell r="A68">
            <v>1514793</v>
          </cell>
          <cell r="F68" t="str">
            <v>ADIDAS</v>
          </cell>
          <cell r="H68" t="str">
            <v>ID2567</v>
          </cell>
          <cell r="I68" t="str">
            <v>adidas Gazelle Indoor Cream Green
5 US / 37 1.3 EU / 23 CM
5.5 US / 38 EU / 23.5 CM
6 US / 38 2.3 EU / 24 CM
6.5 US / 39 1.3 EU / 24.5 CM
7 US / 40 EU / 25 CM 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68">
            <v>38.5</v>
          </cell>
          <cell r="L68">
            <v>20000</v>
          </cell>
          <cell r="M68" t="str">
            <v>Зелёный</v>
          </cell>
        </row>
        <row r="69">
          <cell r="A69">
            <v>1516365</v>
          </cell>
          <cell r="F69" t="str">
            <v>ADIDAS</v>
          </cell>
          <cell r="H69" t="str">
            <v>FX5398</v>
          </cell>
          <cell r="I69" t="str">
            <v>KITH x adidas Samba OG Classics Program White
7 US / 40 EU / 25 CM
7.5 US / 40 2.3 EU / 25.5 CM
8 US / 41 1.3 EU / 26 CM
8.5 US / 42 EU / 26.5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69">
            <v>42</v>
          </cell>
          <cell r="L69">
            <v>13500</v>
          </cell>
          <cell r="M69" t="str">
            <v>Белый</v>
          </cell>
        </row>
        <row r="70">
          <cell r="A70">
            <v>1516366</v>
          </cell>
          <cell r="F70" t="str">
            <v>ADIDAS</v>
          </cell>
          <cell r="H70" t="str">
            <v>IG0671</v>
          </cell>
          <cell r="I70" t="str">
            <v>adidas Gazelle Court Green Footwear White
5.5 US / 38 EU / 23.5 CM
6 US / 38 2.3 EU / 24 CM
6.5 US / 39 1.3 EU / 24.5 CM
7 US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70">
            <v>38</v>
          </cell>
          <cell r="L70">
            <v>16000</v>
          </cell>
          <cell r="M70" t="str">
            <v>Зелёный</v>
          </cell>
        </row>
        <row r="71">
          <cell r="A71">
            <v>1516370</v>
          </cell>
          <cell r="F71" t="str">
            <v>ADIDAS</v>
          </cell>
          <cell r="H71">
            <v>772109</v>
          </cell>
          <cell r="I71" t="str">
            <v>adidas Samba Original White
7 US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71">
            <v>40</v>
          </cell>
          <cell r="L71">
            <v>22000</v>
          </cell>
          <cell r="M71" t="str">
            <v>Коричневый</v>
          </cell>
        </row>
        <row r="72">
          <cell r="A72">
            <v>1519225</v>
          </cell>
          <cell r="F72" t="str">
            <v>JORDAN</v>
          </cell>
          <cell r="H72" t="str">
            <v>BQ6472-500</v>
          </cell>
          <cell r="I72" t="str">
            <v>Air Jordan 1 Mid “Barely Rose”</v>
          </cell>
          <cell r="J72">
            <v>37.5</v>
          </cell>
          <cell r="L72">
            <v>13000</v>
          </cell>
          <cell r="M72" t="str">
            <v>Розовый</v>
          </cell>
        </row>
        <row r="73">
          <cell r="A73">
            <v>1519230</v>
          </cell>
          <cell r="F73" t="str">
            <v>NIKE</v>
          </cell>
          <cell r="H73" t="str">
            <v>DD1869-107</v>
          </cell>
          <cell r="I73" t="str">
            <v>Nike Dunk High Aluminum (W)</v>
          </cell>
          <cell r="J73">
            <v>43</v>
          </cell>
          <cell r="L73">
            <v>14000</v>
          </cell>
          <cell r="M73" t="str">
            <v>Голубой</v>
          </cell>
        </row>
        <row r="74">
          <cell r="A74">
            <v>1519231</v>
          </cell>
          <cell r="F74" t="str">
            <v>NIKE</v>
          </cell>
          <cell r="H74" t="str">
            <v>DD1503-111</v>
          </cell>
          <cell r="I74" t="str">
            <v>Nike Dunk Low Archeo Pink (W)</v>
          </cell>
          <cell r="J74">
            <v>42.5</v>
          </cell>
          <cell r="L74">
            <v>14000</v>
          </cell>
          <cell r="M74" t="str">
            <v>Красный</v>
          </cell>
        </row>
        <row r="75">
          <cell r="A75">
            <v>1524043</v>
          </cell>
          <cell r="F75" t="str">
            <v>JORDAN</v>
          </cell>
          <cell r="H75" t="str">
            <v>DJ0338-100</v>
          </cell>
          <cell r="I75" t="str">
            <v>Air Jordan 1 Mid SE Pastel Vivid Green Grind (GS)</v>
          </cell>
          <cell r="J75">
            <v>36</v>
          </cell>
          <cell r="L75">
            <v>12000</v>
          </cell>
          <cell r="M75" t="str">
            <v>Белый</v>
          </cell>
        </row>
        <row r="76">
          <cell r="A76">
            <v>1524044</v>
          </cell>
          <cell r="F76" t="str">
            <v>JORDAN</v>
          </cell>
          <cell r="H76" t="str">
            <v>DJ0338-100</v>
          </cell>
          <cell r="I76" t="str">
            <v>Air Jordan 1 Mid SE Pastel Vivid Green Grind (GS)</v>
          </cell>
          <cell r="J76">
            <v>36</v>
          </cell>
          <cell r="L76">
            <v>12000</v>
          </cell>
          <cell r="M76" t="str">
            <v>Белый</v>
          </cell>
        </row>
        <row r="77">
          <cell r="A77">
            <v>1524829</v>
          </cell>
          <cell r="F77" t="str">
            <v>ADIDAS</v>
          </cell>
          <cell r="H77" t="str">
            <v>IE6975</v>
          </cell>
          <cell r="I77" t="str">
            <v>adidas Samba OG Sporty &amp; Rich Blue Grey
5 US / 37 1.3 EU / 23 CM
5.5 US / 38 EU / 23.5 CM
6 US / 38.5 EU / 24 CM
6.5 US / 39 1.3 EU / 24.5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77">
            <v>38</v>
          </cell>
          <cell r="L77">
            <v>39000</v>
          </cell>
          <cell r="M77" t="str">
            <v>Голубой</v>
          </cell>
        </row>
        <row r="78">
          <cell r="A78">
            <v>1537787</v>
          </cell>
          <cell r="F78" t="str">
            <v>JORDAN</v>
          </cell>
          <cell r="H78" t="str">
            <v>FB9139-002</v>
          </cell>
          <cell r="I78" t="str">
            <v>Air Jordan 1 Low SE Craft Inside Out Tech Grey (GS)
5 US // 37.5 EU // 23.5 CM
5.5 US // 38 EU // 24 CM
6 US // 38.5 EU // 24 CM
6.5 US // 39 EU // 24.5 CM
7 US // 40 EU //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78">
            <v>37.5</v>
          </cell>
          <cell r="L78">
            <v>13500</v>
          </cell>
          <cell r="M78" t="str">
            <v>Серый</v>
          </cell>
        </row>
        <row r="79">
          <cell r="A79">
            <v>1537792</v>
          </cell>
          <cell r="F79" t="str">
            <v>ADIDAS</v>
          </cell>
          <cell r="H79" t="str">
            <v>GY0038</v>
          </cell>
          <cell r="I79" t="str">
            <v>adidas Campus 00s Crystal White Dark Green (Women's)
5 US // 37 EU // 23 CM
5.5 US // 38 EU // 23.5 CM
6 US // 38.5 EU // 24 CM
6.5 US // 39 EU // 24.5 CM
7 US // 40 EU //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79">
            <v>37</v>
          </cell>
          <cell r="L79">
            <v>12900</v>
          </cell>
          <cell r="M79" t="str">
            <v>Зелёный</v>
          </cell>
        </row>
        <row r="80">
          <cell r="A80">
            <v>1539395</v>
          </cell>
          <cell r="F80" t="str">
            <v>ADIDAS</v>
          </cell>
          <cell r="H80" t="str">
            <v>IE6975</v>
          </cell>
          <cell r="I80" t="str">
            <v>adidas Samba OG Sporty &amp; Rich Blue Grey
5 US / 37 1.3 EU / 23 CM
5.5 US / 38 EU / 23.5 CM
6 US / 38.5 EU / 24 CM
6.5 US / 39 1.3 EU / 24.5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80">
            <v>38</v>
          </cell>
          <cell r="L80">
            <v>39000</v>
          </cell>
          <cell r="M80" t="str">
            <v>Голубой</v>
          </cell>
        </row>
        <row r="81">
          <cell r="A81">
            <v>1545489</v>
          </cell>
          <cell r="F81" t="str">
            <v>ADIDAS</v>
          </cell>
          <cell r="H81" t="str">
            <v>IG1024</v>
          </cell>
          <cell r="I81" t="str">
            <v>Adidas Samba OG “White Green”
4 US // 36 EU // 22 CM
5 US // 37 EU // 23 CM
5.5 US // 38 EU // 23.5 CM
7 US // 40 EU // 25 CM
7.5 US // 40.5 EU // 25.5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81">
            <v>38.5</v>
          </cell>
          <cell r="L81">
            <v>18000</v>
          </cell>
          <cell r="M81" t="str">
            <v>Зелёный</v>
          </cell>
        </row>
        <row r="82">
          <cell r="A82">
            <v>1548856</v>
          </cell>
          <cell r="F82" t="str">
            <v>ADIDAS</v>
          </cell>
          <cell r="H82" t="str">
            <v>IE7096</v>
          </cell>
          <cell r="I82" t="str">
            <v>adidas Samba OG Sporty &amp; Rich Beige Blue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82">
            <v>37</v>
          </cell>
          <cell r="L82">
            <v>39000</v>
          </cell>
          <cell r="M82" t="str">
            <v>Голубой</v>
          </cell>
        </row>
        <row r="83">
          <cell r="A83">
            <v>1548862</v>
          </cell>
          <cell r="F83" t="str">
            <v>ADIDAS</v>
          </cell>
          <cell r="H83" t="str">
            <v>IE6975</v>
          </cell>
          <cell r="I83" t="str">
            <v>adidas Samba OG Sporty &amp; Rich Blue Grey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83">
            <v>38</v>
          </cell>
          <cell r="L83">
            <v>39000</v>
          </cell>
          <cell r="M83" t="str">
            <v>Голубой</v>
          </cell>
        </row>
        <row r="84">
          <cell r="A84">
            <v>1557693</v>
          </cell>
          <cell r="F84" t="str">
            <v>JORDAN</v>
          </cell>
          <cell r="H84" t="str">
            <v>CT0979-200</v>
          </cell>
          <cell r="I84" t="str">
            <v>Jordan 1 High Zoom Air CMFT Lemon Twist (Women's)</v>
          </cell>
          <cell r="J84">
            <v>38</v>
          </cell>
          <cell r="L84">
            <v>14000</v>
          </cell>
          <cell r="M84" t="str">
            <v>Коричневый</v>
          </cell>
        </row>
        <row r="85">
          <cell r="A85">
            <v>1557695</v>
          </cell>
          <cell r="F85" t="str">
            <v>ADIDAS</v>
          </cell>
          <cell r="H85" t="str">
            <v>BD7633</v>
          </cell>
          <cell r="I85" t="str">
            <v>adidas Handball Spezial Navy Gum</v>
          </cell>
          <cell r="J85">
            <v>42.5</v>
          </cell>
          <cell r="L85">
            <v>19000</v>
          </cell>
          <cell r="M85" t="str">
            <v>Синий</v>
          </cell>
        </row>
        <row r="86">
          <cell r="A86">
            <v>1558590</v>
          </cell>
          <cell r="F86" t="str">
            <v>JORDAN</v>
          </cell>
          <cell r="H86" t="str">
            <v>BQ6472-105</v>
          </cell>
          <cell r="I86" t="str">
            <v>Air Jordan 1 Mid «Wolf Grey»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86">
            <v>38</v>
          </cell>
          <cell r="L86">
            <v>20000</v>
          </cell>
          <cell r="M86" t="str">
            <v>Серый</v>
          </cell>
        </row>
        <row r="87">
          <cell r="A87">
            <v>1558591</v>
          </cell>
          <cell r="F87" t="str">
            <v>JORDAN</v>
          </cell>
          <cell r="H87" t="str">
            <v>BQ6472-105</v>
          </cell>
          <cell r="I87" t="str">
            <v>Air Jordan 1 Mid «Wolf Grey»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87">
            <v>38.5</v>
          </cell>
          <cell r="L87">
            <v>20000</v>
          </cell>
          <cell r="M87" t="str">
            <v>Серый</v>
          </cell>
        </row>
        <row r="88">
          <cell r="A88">
            <v>1558592</v>
          </cell>
          <cell r="F88" t="str">
            <v>JORDAN</v>
          </cell>
          <cell r="H88" t="str">
            <v>BQ6472-105</v>
          </cell>
          <cell r="I88" t="str">
            <v>Air Jordan 1 Mid «Wolf Grey»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88">
            <v>39</v>
          </cell>
          <cell r="L88">
            <v>20000</v>
          </cell>
          <cell r="M88" t="str">
            <v>Серый</v>
          </cell>
        </row>
        <row r="89">
          <cell r="A89">
            <v>1558593</v>
          </cell>
          <cell r="F89" t="str">
            <v>JORDAN</v>
          </cell>
          <cell r="H89" t="str">
            <v>BQ6472-105</v>
          </cell>
          <cell r="I89" t="str">
            <v>Air Jordan 1 Mid «Wolf Grey»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89">
            <v>40</v>
          </cell>
          <cell r="L89">
            <v>20000</v>
          </cell>
          <cell r="M89" t="str">
            <v>Серый</v>
          </cell>
        </row>
        <row r="90">
          <cell r="A90">
            <v>1558594</v>
          </cell>
          <cell r="F90" t="str">
            <v>JORDAN</v>
          </cell>
          <cell r="H90" t="str">
            <v>BQ6472-105</v>
          </cell>
          <cell r="I90" t="str">
            <v>Air Jordan 1 Mid «Wolf Grey»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90">
            <v>40.5</v>
          </cell>
          <cell r="L90">
            <v>20000</v>
          </cell>
          <cell r="M90" t="str">
            <v>Серый</v>
          </cell>
        </row>
        <row r="91">
          <cell r="A91">
            <v>1558598</v>
          </cell>
          <cell r="F91" t="str">
            <v>JORDAN</v>
          </cell>
          <cell r="H91" t="str">
            <v>DV0991-101</v>
          </cell>
          <cell r="I91" t="str">
            <v>Air Jordan 1 Mid «Panda»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91">
            <v>38.5</v>
          </cell>
          <cell r="L91">
            <v>16000</v>
          </cell>
          <cell r="M91" t="str">
            <v>Черный</v>
          </cell>
        </row>
        <row r="92">
          <cell r="A92">
            <v>1558600</v>
          </cell>
          <cell r="F92" t="str">
            <v>JORDAN</v>
          </cell>
          <cell r="H92" t="str">
            <v>DV0991-101</v>
          </cell>
          <cell r="I92" t="str">
            <v>Air Jordan 1 Mid «Panda»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92">
            <v>40</v>
          </cell>
          <cell r="L92">
            <v>16000</v>
          </cell>
          <cell r="M92" t="str">
            <v>Черный</v>
          </cell>
        </row>
        <row r="93">
          <cell r="A93">
            <v>1558601</v>
          </cell>
          <cell r="F93" t="str">
            <v>JORDAN</v>
          </cell>
          <cell r="H93" t="str">
            <v>DV0991-101</v>
          </cell>
          <cell r="I93" t="str">
            <v>Air Jordan 1 Mid «Panda»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93">
            <v>40.5</v>
          </cell>
          <cell r="L93">
            <v>16000</v>
          </cell>
          <cell r="M93" t="str">
            <v>Черный</v>
          </cell>
        </row>
        <row r="94">
          <cell r="A94">
            <v>1560186</v>
          </cell>
          <cell r="F94" t="str">
            <v>NEW BALANCE</v>
          </cell>
          <cell r="H94" t="str">
            <v>MR530SG</v>
          </cell>
          <cell r="I94" t="str">
            <v>New Balance 530 «White Silver Navy»</v>
          </cell>
          <cell r="J94">
            <v>41.5</v>
          </cell>
          <cell r="L94">
            <v>18000</v>
          </cell>
          <cell r="M94" t="str">
            <v>Серый</v>
          </cell>
        </row>
        <row r="95">
          <cell r="A95">
            <v>1575004</v>
          </cell>
          <cell r="F95" t="str">
            <v>NEW BALANCE</v>
          </cell>
          <cell r="H95" t="str">
            <v>MR530AB</v>
          </cell>
          <cell r="I95" t="str">
            <v>New Balance 530 White Silver Green
4 US // 36 EU // 22 CM
4.5 US // 37 EU // 22.5 CM
5.5 US // 38 EU // 23.5 CM
6.5 US // 39.5 EU // 24.5 CM
7 US // 40 EU //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95">
            <v>37</v>
          </cell>
          <cell r="L95">
            <v>18000</v>
          </cell>
          <cell r="M95" t="str">
            <v>Белый</v>
          </cell>
        </row>
        <row r="96">
          <cell r="A96">
            <v>1575007</v>
          </cell>
          <cell r="F96" t="str">
            <v>NEW BALANCE</v>
          </cell>
          <cell r="H96" t="str">
            <v>MR530AB</v>
          </cell>
          <cell r="I96" t="str">
            <v>New Balance 530 White Silver Green
4 US // 36 EU // 22 CM
4.5 US // 37 EU // 22.5 CM
5.5 US // 38 EU // 23.5 CM
6.5 US // 39.5 EU // 24.5 CM
7 US // 40 EU //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96">
            <v>39.5</v>
          </cell>
          <cell r="L96">
            <v>18000</v>
          </cell>
          <cell r="M96" t="str">
            <v>Белый</v>
          </cell>
        </row>
        <row r="97">
          <cell r="A97">
            <v>1575008</v>
          </cell>
          <cell r="F97" t="str">
            <v>NEW BALANCE</v>
          </cell>
          <cell r="H97" t="str">
            <v>MR530AB</v>
          </cell>
          <cell r="I97" t="str">
            <v>New Balance 530 White Silver Green
4 US // 36 EU // 22 CM
4.5 US // 37 EU // 22.5 CM
5.5 US // 38 EU // 23.5 CM
6.5 US // 39.5 EU // 24.5 CM
7 US // 40 EU //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97">
            <v>39.5</v>
          </cell>
          <cell r="L97">
            <v>18000</v>
          </cell>
          <cell r="M97" t="str">
            <v>Белый</v>
          </cell>
        </row>
        <row r="98">
          <cell r="A98">
            <v>1579856</v>
          </cell>
          <cell r="F98" t="str">
            <v>ADIDAS</v>
          </cell>
          <cell r="H98" t="str">
            <v>IG1024</v>
          </cell>
          <cell r="I98" t="str">
            <v>Adidas Samba OG “White Green”
4 US // 36 EU // 22 CM
5 US // 37 EU // 23 CM
5.5 US // 38 EU // 23.5 CM
7 US // 40 EU // 25 CM
7.5 US // 40.5 EU // 25.5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98">
            <v>40</v>
          </cell>
          <cell r="L98">
            <v>18000</v>
          </cell>
          <cell r="M98" t="str">
            <v>Зелёный</v>
          </cell>
        </row>
        <row r="99">
          <cell r="A99">
            <v>1579870</v>
          </cell>
          <cell r="F99" t="str">
            <v>NIKE</v>
          </cell>
          <cell r="H99" t="str">
            <v>DJ1173-700</v>
          </cell>
          <cell r="I99" t="str">
            <v>Nike Dunk Low Social Status Chocolate Milk</v>
          </cell>
          <cell r="J99">
            <v>42</v>
          </cell>
          <cell r="L99">
            <v>24000</v>
          </cell>
          <cell r="M99" t="str">
            <v>Красный</v>
          </cell>
        </row>
        <row r="100">
          <cell r="A100">
            <v>1579876</v>
          </cell>
          <cell r="F100" t="str">
            <v>NIKE</v>
          </cell>
          <cell r="H100" t="str">
            <v>DR0424-100</v>
          </cell>
          <cell r="I100" t="str">
            <v>Nike J Force 1 Low x Jacquemus</v>
          </cell>
          <cell r="J100">
            <v>35.5</v>
          </cell>
          <cell r="L100">
            <v>13900</v>
          </cell>
          <cell r="M100" t="str">
            <v>Белый</v>
          </cell>
        </row>
        <row r="101">
          <cell r="A101">
            <v>1583345</v>
          </cell>
          <cell r="F101" t="str">
            <v>ADIDAS</v>
          </cell>
          <cell r="H101" t="str">
            <v>ID2567</v>
          </cell>
          <cell r="I101" t="str">
            <v>adidas Gazelle Indoor Cream Green
5 US / 37 1.3 EU / 23 CM
5.5 US / 38 EU / 23.5 CM
6 US / 38 2.3 EU / 24 CM
6.5 US / 39 1.3 EU / 24.5 CM
7 US / 40 EU / 25 CM 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01">
            <v>36.5</v>
          </cell>
          <cell r="L101">
            <v>20000</v>
          </cell>
          <cell r="M101" t="str">
            <v>Зелёный</v>
          </cell>
        </row>
        <row r="102">
          <cell r="A102">
            <v>1587630</v>
          </cell>
          <cell r="F102" t="str">
            <v>JORDAN</v>
          </cell>
          <cell r="H102" t="str">
            <v>DC0774-105</v>
          </cell>
          <cell r="I102" t="str">
            <v>Air Jordan 1 Low Wolf Grey 
6 W // 36.5 EU // 23.5 CM
6.5 W // 37.5 EU // 23.5 CM
7 W // 38 EU // 24 CM
7.5 W // 38.5 EU // 24 CM
8 W // 39 EU // 24.5 CM
8.5 W // 40 EU // 25 CM
9 W // 40.5 EU // 25.5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02">
            <v>40</v>
          </cell>
          <cell r="L102">
            <v>20000</v>
          </cell>
          <cell r="M102" t="str">
            <v>Серый</v>
          </cell>
        </row>
        <row r="103">
          <cell r="A103">
            <v>1587635</v>
          </cell>
          <cell r="F103" t="str">
            <v>JORDAN</v>
          </cell>
          <cell r="H103" t="str">
            <v>DC0774-101</v>
          </cell>
          <cell r="I103" t="str">
            <v>Air Jordan 1 Low Panda 
5 US / 37,5 EU / 23,5 CM
5.5 US / 38 EU / 24 CM
6 US / 38,5 EU / 24 CM
6.5 US / 39 EU / 24.5 CM
7 US / 40 EU / 25 CM
7.5 US / 40,5 EU / 25.5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03">
            <v>39</v>
          </cell>
          <cell r="L103">
            <v>19900</v>
          </cell>
          <cell r="M103" t="str">
            <v>Черный</v>
          </cell>
        </row>
        <row r="104">
          <cell r="A104">
            <v>1587636</v>
          </cell>
          <cell r="F104" t="str">
            <v>JORDAN</v>
          </cell>
          <cell r="H104" t="str">
            <v>DC0774-101</v>
          </cell>
          <cell r="I104" t="str">
            <v>Air Jordan 1 Low Panda 
5 US / 37,5 EU / 23,5 CM
5.5 US / 38 EU / 24 CM
6 US / 38,5 EU / 24 CM
6.5 US / 39 EU / 24.5 CM
7 US / 40 EU / 25 CM
7.5 US / 40,5 EU / 25.5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04">
            <v>40</v>
          </cell>
          <cell r="L104">
            <v>19900</v>
          </cell>
          <cell r="M104" t="str">
            <v>Черный</v>
          </cell>
        </row>
        <row r="105">
          <cell r="A105">
            <v>1587653</v>
          </cell>
          <cell r="F105" t="str">
            <v>JORDAN</v>
          </cell>
          <cell r="H105" t="str">
            <v>CZ0790-106</v>
          </cell>
          <cell r="I105" t="str">
            <v>Air Jordan 1 Low «Black Toe»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05">
            <v>42.5</v>
          </cell>
          <cell r="L105">
            <v>19900</v>
          </cell>
          <cell r="M105" t="str">
            <v>Красный</v>
          </cell>
        </row>
        <row r="106">
          <cell r="A106">
            <v>1587658</v>
          </cell>
          <cell r="F106" t="str">
            <v>JORDAN</v>
          </cell>
          <cell r="H106" t="str">
            <v>CZ0790-106</v>
          </cell>
          <cell r="I106" t="str">
            <v>Air Jordan 1 Low «Black Toe»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06">
            <v>45</v>
          </cell>
          <cell r="L106">
            <v>19900</v>
          </cell>
          <cell r="M106" t="str">
            <v>Красный</v>
          </cell>
        </row>
        <row r="107">
          <cell r="A107">
            <v>1587666</v>
          </cell>
          <cell r="F107" t="str">
            <v>JORDAN</v>
          </cell>
          <cell r="H107" t="str">
            <v>DZ6333-083</v>
          </cell>
          <cell r="I107" t="str">
            <v>Air Jordan 1 Low «Bunny Rabbit»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07">
            <v>39</v>
          </cell>
          <cell r="L107">
            <v>16000</v>
          </cell>
          <cell r="M107" t="str">
            <v>Серый</v>
          </cell>
        </row>
        <row r="108">
          <cell r="A108">
            <v>1590676</v>
          </cell>
          <cell r="F108" t="str">
            <v>NIKE</v>
          </cell>
          <cell r="H108" t="str">
            <v>IE6975</v>
          </cell>
          <cell r="I108" t="str">
            <v>adidas Samba OG Sporty &amp; Rich Blue Grey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08">
            <v>42</v>
          </cell>
          <cell r="L108">
            <v>40000</v>
          </cell>
          <cell r="M108" t="str">
            <v>Голубой</v>
          </cell>
        </row>
        <row r="109">
          <cell r="A109">
            <v>1603306</v>
          </cell>
          <cell r="F109" t="str">
            <v>ADIDAS</v>
          </cell>
          <cell r="H109" t="str">
            <v>IE6975</v>
          </cell>
          <cell r="I109" t="str">
            <v>adidas Samba OG Sporty &amp; Rich Blue Grey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09">
            <v>37</v>
          </cell>
          <cell r="L109">
            <v>39000</v>
          </cell>
          <cell r="M109" t="str">
            <v>Голубой</v>
          </cell>
        </row>
        <row r="110">
          <cell r="A110">
            <v>1603315</v>
          </cell>
          <cell r="F110" t="str">
            <v>ADIDAS</v>
          </cell>
          <cell r="H110" t="str">
            <v>B75807</v>
          </cell>
          <cell r="I110" t="str">
            <v>Adidas Samba OG Black White Gum
5.5 US / 38 EU / 23.5 CM
6 US / 38 2.3 EU / 24 CM
6.5 US / 39 1.3 EU / 24.5 CM
7 US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10">
            <v>40.5</v>
          </cell>
          <cell r="L110">
            <v>19000</v>
          </cell>
          <cell r="M110" t="str">
            <v>Черный</v>
          </cell>
        </row>
        <row r="111">
          <cell r="A111">
            <v>1603316</v>
          </cell>
          <cell r="F111" t="str">
            <v>ADIDAS</v>
          </cell>
          <cell r="H111" t="str">
            <v>IE6975</v>
          </cell>
          <cell r="I111" t="str">
            <v>adidas Samba OG Sporty &amp; Rich Blue Grey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11">
            <v>36.5</v>
          </cell>
          <cell r="L111">
            <v>39000</v>
          </cell>
          <cell r="M111" t="str">
            <v>Голубой</v>
          </cell>
        </row>
        <row r="112">
          <cell r="A112">
            <v>1618842</v>
          </cell>
          <cell r="F112" t="str">
            <v>ADIDAS</v>
          </cell>
          <cell r="H112" t="str">
            <v>H06122</v>
          </cell>
          <cell r="I112" t="str">
            <v>Adidas Gazelle Bold «Pink»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12">
            <v>38</v>
          </cell>
          <cell r="L112">
            <v>25000</v>
          </cell>
          <cell r="M112" t="str">
            <v>Розовый</v>
          </cell>
        </row>
        <row r="113">
          <cell r="A113">
            <v>1620532</v>
          </cell>
          <cell r="F113" t="str">
            <v>NEW BALANCE</v>
          </cell>
          <cell r="H113" t="str">
            <v>M1906RCB</v>
          </cell>
          <cell r="I113" t="str">
            <v>New Balance 1906R Silver
5.5 US / 38 EU / 23.5 CM
6 US / 38.5 EU / 24 CM
6.5 US / 39.5 EU / 24.5 CM
7 US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13">
            <v>38</v>
          </cell>
          <cell r="L113">
            <v>20000</v>
          </cell>
          <cell r="M113" t="str">
            <v>Серый</v>
          </cell>
        </row>
        <row r="114">
          <cell r="A114">
            <v>1620541</v>
          </cell>
          <cell r="F114" t="str">
            <v>NIKE</v>
          </cell>
          <cell r="H114" t="str">
            <v>DD1391-103</v>
          </cell>
          <cell r="I114" t="str">
            <v>Nike Dunk Low “Grey Fog”
7 US / 40 EU / 25 CM
7.5 US / 40.5 EU / 25.5 CM
8 US / 41 EU / 26 CM
8.5 US / 42 EU / 26.5 CM
9 US / 42.5 EU / 27 CM
9.5 US / 43 EU / 27.5 CM
10 US / 44 EU / 28 CM
10.5 US / 44.5 EU / 28.5 CM
11 US / 45 EU / 29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14">
            <v>40</v>
          </cell>
          <cell r="L114">
            <v>15000</v>
          </cell>
          <cell r="M114" t="str">
            <v>Серый</v>
          </cell>
        </row>
        <row r="115">
          <cell r="A115">
            <v>1620544</v>
          </cell>
          <cell r="F115" t="str">
            <v>NIKE</v>
          </cell>
          <cell r="H115" t="str">
            <v>DD1391-103</v>
          </cell>
          <cell r="I115" t="str">
            <v>Nike Dunk Low “Grey Fog”
7 US / 40 EU / 25 CM
7.5 US / 40.5 EU / 25.5 CM
8 US / 41 EU / 26 CM
8.5 US / 42 EU / 26.5 CM
9 US / 42.5 EU / 27 CM
9.5 US / 43 EU / 27.5 CM
10 US / 44 EU / 28 CM
10.5 US / 44.5 EU / 28.5 CM
11 US / 45 EU / 29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15">
            <v>46</v>
          </cell>
          <cell r="L115">
            <v>15000</v>
          </cell>
          <cell r="M115" t="str">
            <v>Серый</v>
          </cell>
        </row>
        <row r="116">
          <cell r="A116">
            <v>1620546</v>
          </cell>
          <cell r="F116" t="str">
            <v>JORDAN</v>
          </cell>
          <cell r="H116" t="str">
            <v>DV1333-100</v>
          </cell>
          <cell r="I116" t="str">
            <v>Air Jordan 1 Low SE “Concord” (GS)
6 Y / 38.5 EU / 24 CM
5.5 Y / 38 EU / 23.5 CM
7 Y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16">
            <v>38.5</v>
          </cell>
          <cell r="L116">
            <v>22000</v>
          </cell>
          <cell r="M116" t="str">
            <v>Черный</v>
          </cell>
        </row>
        <row r="117">
          <cell r="A117">
            <v>1620804</v>
          </cell>
          <cell r="F117" t="str">
            <v>NEW BALANCE</v>
          </cell>
          <cell r="H117" t="str">
            <v>M2002RDA</v>
          </cell>
          <cell r="I117" t="str">
            <v>New Balance 2002r Refined Future Grey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17">
            <v>38</v>
          </cell>
          <cell r="L117">
            <v>32000</v>
          </cell>
          <cell r="M117" t="str">
            <v>Серый</v>
          </cell>
        </row>
        <row r="118">
          <cell r="A118">
            <v>1663147</v>
          </cell>
          <cell r="F118" t="str">
            <v>JORDAN</v>
          </cell>
          <cell r="H118" t="str">
            <v>DJ0338-100</v>
          </cell>
          <cell r="I118" t="str">
            <v>Air Jordan 1 Mid SE Pastel Vivid Green Grind (GS)</v>
          </cell>
          <cell r="J118">
            <v>36</v>
          </cell>
          <cell r="L118">
            <v>12000</v>
          </cell>
          <cell r="M118" t="str">
            <v>Белый</v>
          </cell>
        </row>
        <row r="119">
          <cell r="A119">
            <v>1671292</v>
          </cell>
          <cell r="F119" t="str">
            <v>ADIDAS</v>
          </cell>
          <cell r="H119" t="str">
            <v>IG4198</v>
          </cell>
          <cell r="I119" t="str">
            <v>NOTITLE X SAMBA OG 'PINK'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19">
            <v>37</v>
          </cell>
          <cell r="L119">
            <v>35000</v>
          </cell>
          <cell r="M119" t="str">
            <v>Розовый</v>
          </cell>
        </row>
        <row r="120">
          <cell r="A120">
            <v>1671293</v>
          </cell>
          <cell r="F120" t="str">
            <v>ADIDAS</v>
          </cell>
          <cell r="H120" t="str">
            <v>IG4198</v>
          </cell>
          <cell r="I120" t="str">
            <v>NOTITLE X SAMBA OG 'PINK'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20">
            <v>38</v>
          </cell>
          <cell r="L120">
            <v>35000</v>
          </cell>
          <cell r="M120" t="str">
            <v>Розовый</v>
          </cell>
        </row>
        <row r="121">
          <cell r="A121">
            <v>1677934</v>
          </cell>
          <cell r="F121" t="str">
            <v>NIKE</v>
          </cell>
          <cell r="H121" t="str">
            <v>DD1503-124</v>
          </cell>
          <cell r="I121" t="str">
            <v>Nike Dunk Low «Brown and Sail»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21">
            <v>37.5</v>
          </cell>
          <cell r="L121">
            <v>19000</v>
          </cell>
          <cell r="M121" t="str">
            <v>Коричневый</v>
          </cell>
        </row>
        <row r="122">
          <cell r="A122">
            <v>1683296</v>
          </cell>
          <cell r="F122" t="str">
            <v>JORDAN</v>
          </cell>
          <cell r="H122" t="str">
            <v>FB9893-101</v>
          </cell>
          <cell r="I122" t="str">
            <v>Jordan 1 Low Vintage Panda 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22">
            <v>37.5</v>
          </cell>
          <cell r="L122">
            <v>17000</v>
          </cell>
          <cell r="M122" t="str">
            <v>Черный</v>
          </cell>
        </row>
        <row r="123">
          <cell r="A123">
            <v>1683297</v>
          </cell>
          <cell r="F123" t="str">
            <v>JORDAN</v>
          </cell>
          <cell r="H123" t="str">
            <v>FB9893-101</v>
          </cell>
          <cell r="I123" t="str">
            <v>Jordan 1 Low Vintage Panda 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23">
            <v>38</v>
          </cell>
          <cell r="L123">
            <v>17000</v>
          </cell>
          <cell r="M123" t="str">
            <v>Черный</v>
          </cell>
        </row>
        <row r="124">
          <cell r="A124">
            <v>1683298</v>
          </cell>
          <cell r="F124" t="str">
            <v>JORDAN</v>
          </cell>
          <cell r="H124" t="str">
            <v>FB9893-101</v>
          </cell>
          <cell r="I124" t="str">
            <v>Jordan 1 Low Vintage Panda 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24">
            <v>38.5</v>
          </cell>
          <cell r="L124">
            <v>17000</v>
          </cell>
          <cell r="M124" t="str">
            <v>Черный</v>
          </cell>
        </row>
        <row r="125">
          <cell r="A125">
            <v>1683299</v>
          </cell>
          <cell r="F125" t="str">
            <v>JORDAN</v>
          </cell>
          <cell r="H125" t="str">
            <v>FB9893-101</v>
          </cell>
          <cell r="I125" t="str">
            <v>Jordan 1 Low Vintage Panda 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25">
            <v>39</v>
          </cell>
          <cell r="L125">
            <v>17000</v>
          </cell>
          <cell r="M125" t="str">
            <v>Черный</v>
          </cell>
        </row>
        <row r="126">
          <cell r="A126">
            <v>1683300</v>
          </cell>
          <cell r="F126" t="str">
            <v>JORDAN</v>
          </cell>
          <cell r="H126" t="str">
            <v>FB9893-101</v>
          </cell>
          <cell r="I126" t="str">
            <v>Jordan 1 Low Vintage Panda 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26">
            <v>40</v>
          </cell>
          <cell r="L126">
            <v>17000</v>
          </cell>
          <cell r="M126" t="str">
            <v>Черный</v>
          </cell>
        </row>
        <row r="127">
          <cell r="A127">
            <v>1683301</v>
          </cell>
          <cell r="F127" t="str">
            <v>JORDAN</v>
          </cell>
          <cell r="H127" t="str">
            <v>FB9893-101</v>
          </cell>
          <cell r="I127" t="str">
            <v>Jordan 1 Low Vintage Panda 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27">
            <v>40.5</v>
          </cell>
          <cell r="L127">
            <v>17000</v>
          </cell>
          <cell r="M127" t="str">
            <v>Черный</v>
          </cell>
        </row>
        <row r="128">
          <cell r="A128">
            <v>1683848</v>
          </cell>
          <cell r="F128" t="str">
            <v>NEW BALANCE</v>
          </cell>
          <cell r="H128" t="str">
            <v>M2002RDA (Future)</v>
          </cell>
          <cell r="I128" t="str">
            <v>New Balance 2002r Refined Future Grey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28">
            <v>38</v>
          </cell>
          <cell r="L128">
            <v>32000</v>
          </cell>
          <cell r="M128" t="str">
            <v>Серый</v>
          </cell>
        </row>
        <row r="129">
          <cell r="A129">
            <v>1694667</v>
          </cell>
          <cell r="F129" t="str">
            <v>NEW BALANCE</v>
          </cell>
          <cell r="H129" t="str">
            <v>M2002RDB</v>
          </cell>
          <cell r="I129" t="str">
            <v>New Balance 2002r Protection Pack «Phantom»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29">
            <v>38</v>
          </cell>
          <cell r="L129">
            <v>35000</v>
          </cell>
          <cell r="M129" t="str">
            <v>Черный</v>
          </cell>
        </row>
        <row r="130">
          <cell r="A130">
            <v>1709482</v>
          </cell>
          <cell r="F130" t="str">
            <v>JORDAN</v>
          </cell>
          <cell r="H130" t="str">
            <v>DZ5485-052</v>
          </cell>
          <cell r="I130" t="str">
            <v>Jordan 1 Retro High OG White Cement</v>
          </cell>
          <cell r="J130">
            <v>43</v>
          </cell>
          <cell r="L130">
            <v>15000</v>
          </cell>
          <cell r="M130" t="str">
            <v>Серый</v>
          </cell>
        </row>
        <row r="131">
          <cell r="A131">
            <v>1715970</v>
          </cell>
          <cell r="F131" t="str">
            <v>JORDAN</v>
          </cell>
          <cell r="H131" t="str">
            <v>DR0502-101</v>
          </cell>
          <cell r="I131" t="str">
            <v>Jordan 1 Low SE Homage Split White Black (W)</v>
          </cell>
          <cell r="J131">
            <v>39</v>
          </cell>
          <cell r="L131">
            <v>11900</v>
          </cell>
          <cell r="M131" t="str">
            <v>Черный</v>
          </cell>
        </row>
        <row r="132">
          <cell r="A132">
            <v>1717303</v>
          </cell>
          <cell r="F132" t="str">
            <v>NIKE</v>
          </cell>
          <cell r="H132" t="str">
            <v>DD1503-101</v>
          </cell>
          <cell r="I132" t="str">
            <v>Nike Dunk Low Black White (W)</v>
          </cell>
          <cell r="J132">
            <v>36.5</v>
          </cell>
          <cell r="L132">
            <v>12500</v>
          </cell>
          <cell r="M132" t="str">
            <v>Черный</v>
          </cell>
        </row>
        <row r="133">
          <cell r="A133">
            <v>1717307</v>
          </cell>
          <cell r="F133" t="str">
            <v>JORDAN</v>
          </cell>
          <cell r="H133" t="str">
            <v>BQ6472-121</v>
          </cell>
          <cell r="I133" t="str">
            <v>Jordan 1 Mid Coconut Milk
Приятное бежевое издание модели Jordan, выполненное из натуральной кожи 
- Абсолютно новые 
- Сидят размер в размер 
Проконсультируем по любым вопросам в комментариях!</v>
          </cell>
          <cell r="J133">
            <v>36</v>
          </cell>
          <cell r="L133">
            <v>13900</v>
          </cell>
          <cell r="M133" t="str">
            <v>Белый</v>
          </cell>
        </row>
        <row r="134">
          <cell r="A134">
            <v>1718514</v>
          </cell>
          <cell r="F134" t="str">
            <v>ADIDAS</v>
          </cell>
          <cell r="H134" t="str">
            <v>HQ8708</v>
          </cell>
          <cell r="I134" t="str">
            <v>adidas Campus 00S Panda
5 US / 37 1/3 EU / 23,5 CM
5.5 US / 38 EU / 23,5 CM
6 US / 38 2/3 EU / 24 CM
6.5 US / 39 1/3 EU / 24.5 CM
7 US / 40 EU / 25 CM
7.5 US / 40 2/3 EU / 25.5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34">
            <v>38.5</v>
          </cell>
          <cell r="L134">
            <v>12900</v>
          </cell>
          <cell r="M134" t="str">
            <v>Черный</v>
          </cell>
        </row>
        <row r="135">
          <cell r="A135">
            <v>1720847</v>
          </cell>
          <cell r="F135" t="str">
            <v>JORDAN</v>
          </cell>
          <cell r="H135" t="str">
            <v>FD1437-031</v>
          </cell>
          <cell r="I135" t="str">
            <v>Air Jordan 1 Retro High OG Lucky Green (GS)
4.5 US / 36.5 EU / 23.5 CM
5 US / 37.5 EU / 23.5 CM
5.5 US / 38 EU / 24 CM
6 US / 38.5 EU / 24 CM
6.5 US / 39 EU / 24.5 CM
7 US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35">
            <v>40</v>
          </cell>
          <cell r="L135">
            <v>12000</v>
          </cell>
          <cell r="M135" t="str">
            <v>Зелёный</v>
          </cell>
        </row>
        <row r="136">
          <cell r="A136">
            <v>1784442</v>
          </cell>
          <cell r="F136" t="str">
            <v>NIKE</v>
          </cell>
          <cell r="H136" t="str">
            <v>CW1590-103</v>
          </cell>
          <cell r="I136" t="str">
            <v>DUNK LOW GS 'UNIVERSITY BLUE'
5.5 US / 38 EU / 24 CM
6 US / 38.5 EU / 24 CM 
6.5 US / 39 EU / 24.5 CM
7 US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36">
            <v>38</v>
          </cell>
          <cell r="L136">
            <v>20000</v>
          </cell>
          <cell r="M136" t="str">
            <v>Голубой</v>
          </cell>
        </row>
        <row r="137">
          <cell r="A137">
            <v>1784443</v>
          </cell>
          <cell r="F137" t="str">
            <v>NIKE</v>
          </cell>
          <cell r="H137" t="str">
            <v>CW1590-103</v>
          </cell>
          <cell r="I137" t="str">
            <v>DUNK LOW GS 'UNIVERSITY BLUE'
5.5 US / 38 EU / 24 CM
6 US / 38.5 EU / 24 CM 
6.5 US / 39 EU / 24.5 CM
7 US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37">
            <v>38.5</v>
          </cell>
          <cell r="L137">
            <v>20000</v>
          </cell>
          <cell r="M137" t="str">
            <v>Голубой</v>
          </cell>
        </row>
        <row r="138">
          <cell r="A138">
            <v>1784444</v>
          </cell>
          <cell r="F138" t="str">
            <v>NIKE</v>
          </cell>
          <cell r="H138" t="str">
            <v>CW1590-103</v>
          </cell>
          <cell r="I138" t="str">
            <v>DUNK LOW GS 'UNIVERSITY BLUE'
5.5 US / 38 EU / 24 CM
6 US / 38.5 EU / 24 CM 
6.5 US / 39 EU / 24.5 CM
7 US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38">
            <v>39</v>
          </cell>
          <cell r="L138">
            <v>20000</v>
          </cell>
          <cell r="M138" t="str">
            <v>Голубой</v>
          </cell>
        </row>
        <row r="139">
          <cell r="A139">
            <v>1784446</v>
          </cell>
          <cell r="F139" t="str">
            <v>NIKE</v>
          </cell>
          <cell r="H139" t="str">
            <v>CW1590-102</v>
          </cell>
          <cell r="I139" t="str">
            <v>DUNK LOW GS 'MICHIGAN STATE'
5.5 US / 38 EU / 24 CM
6 US / 38.5 EU / 24 CM
6.5 US / 39 EU / 24.5 CM
7 US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39">
            <v>38</v>
          </cell>
          <cell r="L139">
            <v>20000</v>
          </cell>
          <cell r="M139" t="str">
            <v>Голубой</v>
          </cell>
        </row>
        <row r="140">
          <cell r="A140">
            <v>1791537</v>
          </cell>
          <cell r="F140" t="str">
            <v>ADIDAS</v>
          </cell>
          <cell r="H140" t="str">
            <v>HP3354</v>
          </cell>
          <cell r="I140" t="str">
            <v>adidas Samba OG Sporty &amp; Rich White Black
5 US / 37 1.3 EU / 23 CM
5.5 US / 38 EU / 23.5 CM
6 US / 38.5 EU / 24 CM
6.5 US / 39 1.3 EU / 24.5 CM
7 US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40">
            <v>38</v>
          </cell>
          <cell r="L140">
            <v>39000</v>
          </cell>
          <cell r="M140" t="str">
            <v>Белый</v>
          </cell>
        </row>
        <row r="141">
          <cell r="A141">
            <v>1799473</v>
          </cell>
          <cell r="F141" t="str">
            <v>ADIDAS</v>
          </cell>
          <cell r="H141" t="str">
            <v>B75806</v>
          </cell>
          <cell r="I141" t="str">
            <v>Adidas Samba OG “White black Gum”
4 US // 36 EU // 22 CM
5 US // 37 EU // 23 CM
5.5 US // 38 EU // 23.5 CM
6 US // 38.5 EU // 24 CM
6.5 US // 39 EU // 24.5 CM
7 US // 40 EU //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41">
            <v>36.5</v>
          </cell>
          <cell r="L141">
            <v>19000</v>
          </cell>
          <cell r="M141" t="str">
            <v>Коричневый</v>
          </cell>
        </row>
        <row r="142">
          <cell r="A142">
            <v>1799793</v>
          </cell>
          <cell r="F142" t="str">
            <v>NIKE</v>
          </cell>
          <cell r="H142" t="str">
            <v>FD0736-101</v>
          </cell>
          <cell r="I142" t="str">
            <v>Nike V2K Runner Platinum Green
36 EU
36,5 EU
37,5 EU
38 EU
38,5 EU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42">
            <v>36.5</v>
          </cell>
          <cell r="L142">
            <v>22000</v>
          </cell>
          <cell r="M142" t="str">
            <v>Зелёный</v>
          </cell>
        </row>
        <row r="143">
          <cell r="A143">
            <v>1799794</v>
          </cell>
          <cell r="F143" t="str">
            <v>NIKE</v>
          </cell>
          <cell r="H143" t="str">
            <v>FD0736-101</v>
          </cell>
          <cell r="I143" t="str">
            <v>Nike V2K Runner Platinum Green
36 EU
36,5 EU
37,5 EU
38 EU
38,5 EU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43">
            <v>37.5</v>
          </cell>
          <cell r="L143">
            <v>22000</v>
          </cell>
          <cell r="M143" t="str">
            <v>Зелёный</v>
          </cell>
        </row>
        <row r="144">
          <cell r="A144">
            <v>1811997</v>
          </cell>
          <cell r="F144" t="str">
            <v>JORDAN</v>
          </cell>
          <cell r="H144" t="str">
            <v>DV0991-101</v>
          </cell>
          <cell r="I144" t="str">
            <v>Air Jordan 1 Mid «Panda»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44">
            <v>38</v>
          </cell>
          <cell r="L144">
            <v>16000</v>
          </cell>
          <cell r="M144" t="str">
            <v>Черный</v>
          </cell>
        </row>
        <row r="145">
          <cell r="A145">
            <v>1815211</v>
          </cell>
          <cell r="F145" t="str">
            <v>ADIDAS</v>
          </cell>
          <cell r="H145" t="str">
            <v>IE0872</v>
          </cell>
          <cell r="I145" t="str">
            <v>WMNS Adidas Samba OG Green Leather 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145">
            <v>38.5</v>
          </cell>
          <cell r="L145">
            <v>24000</v>
          </cell>
          <cell r="M145" t="str">
            <v>Зелёный</v>
          </cell>
        </row>
        <row r="146">
          <cell r="A146">
            <v>1815213</v>
          </cell>
          <cell r="F146" t="str">
            <v>ADIDAS</v>
          </cell>
          <cell r="H146" t="str">
            <v>IE0872</v>
          </cell>
          <cell r="I146" t="str">
            <v>WMNS Adidas Samba OG Green Leather 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146">
            <v>39</v>
          </cell>
          <cell r="L146">
            <v>24000</v>
          </cell>
          <cell r="M146" t="str">
            <v>Зелёный</v>
          </cell>
        </row>
        <row r="147">
          <cell r="A147">
            <v>1822144</v>
          </cell>
          <cell r="F147" t="str">
            <v>ADIDAS</v>
          </cell>
          <cell r="H147" t="str">
            <v>B75807 (ADV)</v>
          </cell>
          <cell r="I147" t="str">
            <v>adidas samba ADV Black</v>
          </cell>
          <cell r="J147">
            <v>37</v>
          </cell>
          <cell r="L147">
            <v>19900</v>
          </cell>
          <cell r="M147" t="str">
            <v>Черный</v>
          </cell>
        </row>
        <row r="148">
          <cell r="A148">
            <v>1822146</v>
          </cell>
          <cell r="F148" t="str">
            <v>ADIDAS</v>
          </cell>
          <cell r="H148" t="str">
            <v>B75807 (ADV)</v>
          </cell>
          <cell r="I148" t="str">
            <v>adidas samba ADV Black</v>
          </cell>
          <cell r="J148">
            <v>43</v>
          </cell>
          <cell r="L148">
            <v>19900</v>
          </cell>
          <cell r="M148" t="str">
            <v>Черный</v>
          </cell>
        </row>
        <row r="149">
          <cell r="A149">
            <v>1900338</v>
          </cell>
          <cell r="F149" t="str">
            <v>ADIDAS</v>
          </cell>
          <cell r="H149" t="str">
            <v>IF3813</v>
          </cell>
          <cell r="I149" t="str">
            <v>Samba OG Burgundy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149">
            <v>38.5</v>
          </cell>
          <cell r="L149">
            <v>23500</v>
          </cell>
          <cell r="M149" t="str">
            <v>Белый</v>
          </cell>
        </row>
        <row r="150">
          <cell r="A150">
            <v>1900339</v>
          </cell>
          <cell r="F150" t="str">
            <v>ADIDAS</v>
          </cell>
          <cell r="H150" t="str">
            <v>IF3813</v>
          </cell>
          <cell r="I150" t="str">
            <v>Samba OG Burgundy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150">
            <v>38</v>
          </cell>
          <cell r="L150">
            <v>23500</v>
          </cell>
          <cell r="M150" t="str">
            <v>Белый</v>
          </cell>
        </row>
        <row r="151">
          <cell r="A151">
            <v>1901259</v>
          </cell>
          <cell r="F151" t="str">
            <v>ADIDAS</v>
          </cell>
          <cell r="H151" t="str">
            <v>IG1024</v>
          </cell>
          <cell r="I151" t="str">
            <v>Adidas Samba OG “White Green”
4 US // 36 EU // 22 CM
5 US // 37 EU // 23 CM
5.5 US // 38 EU // 23.5 CM
7 US // 40 EU // 25 CM
7.5 US // 40.5 EU // 25.5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51">
            <v>38</v>
          </cell>
          <cell r="L151">
            <v>18000</v>
          </cell>
          <cell r="M151" t="str">
            <v>Зелёный</v>
          </cell>
        </row>
        <row r="152">
          <cell r="A152">
            <v>1912631</v>
          </cell>
          <cell r="F152" t="str">
            <v>NIKE</v>
          </cell>
          <cell r="H152" t="str">
            <v>DD1503-124</v>
          </cell>
          <cell r="I152" t="str">
            <v>Nike Dunk Low «Brown and Sail»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52">
            <v>38</v>
          </cell>
          <cell r="L152">
            <v>19000</v>
          </cell>
          <cell r="M152" t="str">
            <v>Коричневый</v>
          </cell>
        </row>
        <row r="153">
          <cell r="A153">
            <v>1914985</v>
          </cell>
          <cell r="F153" t="str">
            <v>ADIDAS</v>
          </cell>
          <cell r="H153" t="str">
            <v>ID2054</v>
          </cell>
          <cell r="I153" t="str">
            <v>Adidas Samba OG “Collegiate Green Gum”
4 US // 36 EU // 22 CM
5 US // 37 EU // 23 CM
5.5 US // 38 EU // 23.5 CM
6.5 US // 39 EU // 24.5 CM
7 US // 40 EU //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53">
            <v>40</v>
          </cell>
          <cell r="L153">
            <v>18000</v>
          </cell>
          <cell r="M153" t="str">
            <v>Зелёный</v>
          </cell>
        </row>
        <row r="154">
          <cell r="A154">
            <v>1914988</v>
          </cell>
          <cell r="F154" t="str">
            <v>ADIDAS</v>
          </cell>
          <cell r="H154" t="str">
            <v>FZ6404</v>
          </cell>
          <cell r="I154" t="str">
            <v>Adidas Y-3 Gazelle White
40,5 EUR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54">
            <v>38.5</v>
          </cell>
          <cell r="L154">
            <v>24840</v>
          </cell>
          <cell r="M154" t="str">
            <v>Белый</v>
          </cell>
        </row>
        <row r="155">
          <cell r="A155">
            <v>1914991</v>
          </cell>
          <cell r="F155" t="str">
            <v>ADIDAS</v>
          </cell>
          <cell r="H155" t="str">
            <v>HQ8717</v>
          </cell>
          <cell r="I155" t="str">
            <v>WMNS GAZELLE INDOOR 'BLUE FUSION GUM'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155">
            <v>38.5</v>
          </cell>
          <cell r="L155">
            <v>25000</v>
          </cell>
          <cell r="M155" t="str">
            <v>Голубой</v>
          </cell>
        </row>
        <row r="156">
          <cell r="A156">
            <v>1914994</v>
          </cell>
          <cell r="F156" t="str">
            <v>ADIDAS</v>
          </cell>
          <cell r="H156" t="str">
            <v>HQ8717</v>
          </cell>
          <cell r="I156" t="str">
            <v>WMNS GAZELLE INDOOR 'BLUE FUSION GUM'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156">
            <v>40.5</v>
          </cell>
          <cell r="L156">
            <v>25000</v>
          </cell>
          <cell r="M156" t="str">
            <v>Голубой</v>
          </cell>
        </row>
        <row r="157">
          <cell r="A157">
            <v>1914995</v>
          </cell>
          <cell r="F157" t="str">
            <v>ADIDAS</v>
          </cell>
          <cell r="H157" t="str">
            <v>ID3518</v>
          </cell>
          <cell r="I157" t="str">
            <v>FOOT INDUSTRY X GAZELLE INDOOR 'OFF WHITE GREEN'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157">
            <v>38</v>
          </cell>
          <cell r="L157">
            <v>25000</v>
          </cell>
          <cell r="M157" t="str">
            <v>Зелёный</v>
          </cell>
        </row>
        <row r="158">
          <cell r="A158">
            <v>1915001</v>
          </cell>
          <cell r="F158" t="str">
            <v>ADIDAS</v>
          </cell>
          <cell r="H158" t="str">
            <v>ID3518</v>
          </cell>
          <cell r="I158" t="str">
            <v>FOOT INDUSTRY X GAZELLE INDOOR 'OFF WHITE GREEN'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158">
            <v>39</v>
          </cell>
          <cell r="L158">
            <v>25000</v>
          </cell>
          <cell r="M158" t="str">
            <v>Зелёный</v>
          </cell>
        </row>
        <row r="159">
          <cell r="A159">
            <v>1915003</v>
          </cell>
          <cell r="F159" t="str">
            <v>ADIDAS</v>
          </cell>
          <cell r="H159" t="str">
            <v>ID3518</v>
          </cell>
          <cell r="I159" t="str">
            <v>FOOT INDUSTRY X GAZELLE INDOOR 'OFF WHITE GREEN'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159">
            <v>40</v>
          </cell>
          <cell r="L159">
            <v>25000</v>
          </cell>
          <cell r="M159" t="str">
            <v>Зелёный</v>
          </cell>
        </row>
        <row r="160">
          <cell r="A160">
            <v>1915004</v>
          </cell>
          <cell r="F160" t="str">
            <v>ADIDAS</v>
          </cell>
          <cell r="H160" t="str">
            <v>IE3437</v>
          </cell>
          <cell r="I160" t="str">
            <v>SAMBA OG 'WHITE COLLEGIATE GREEN GUM'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160">
            <v>38</v>
          </cell>
          <cell r="L160">
            <v>20000</v>
          </cell>
          <cell r="M160" t="str">
            <v>Зелёный</v>
          </cell>
        </row>
        <row r="161">
          <cell r="A161">
            <v>1915005</v>
          </cell>
          <cell r="F161" t="str">
            <v>ADIDAS</v>
          </cell>
          <cell r="H161" t="str">
            <v>IE3437</v>
          </cell>
          <cell r="I161" t="str">
            <v>SAMBA OG 'WHITE COLLEGIATE GREEN GUM'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161">
            <v>38.5</v>
          </cell>
          <cell r="L161">
            <v>20000</v>
          </cell>
          <cell r="M161" t="str">
            <v>Зелёный</v>
          </cell>
        </row>
        <row r="162">
          <cell r="A162">
            <v>1915008</v>
          </cell>
          <cell r="F162" t="str">
            <v>ADIDAS</v>
          </cell>
          <cell r="H162" t="str">
            <v>IG5929</v>
          </cell>
          <cell r="I162" t="str">
            <v>Adidas Gazelle «Collegiate Green Pink»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62">
            <v>38.5</v>
          </cell>
          <cell r="L162">
            <v>24000</v>
          </cell>
          <cell r="M162" t="str">
            <v>Зелёный</v>
          </cell>
        </row>
        <row r="163">
          <cell r="A163">
            <v>1915009</v>
          </cell>
          <cell r="F163" t="str">
            <v>ADIDAS</v>
          </cell>
          <cell r="H163" t="str">
            <v>IG5929</v>
          </cell>
          <cell r="I163" t="str">
            <v>Adidas Gazelle «Collegiate Green Pink»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63">
            <v>39</v>
          </cell>
          <cell r="L163">
            <v>24000</v>
          </cell>
          <cell r="M163" t="str">
            <v>Зелёный</v>
          </cell>
        </row>
        <row r="164">
          <cell r="A164">
            <v>1915031</v>
          </cell>
          <cell r="F164" t="str">
            <v>NEW BALANCE</v>
          </cell>
          <cell r="H164" t="str">
            <v>M2002RDB</v>
          </cell>
          <cell r="I164" t="str">
            <v>New Balance 2002r Protection Pack «Phantom»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64">
            <v>37.5</v>
          </cell>
          <cell r="L164">
            <v>35000</v>
          </cell>
          <cell r="M164" t="str">
            <v>Черный</v>
          </cell>
        </row>
        <row r="165">
          <cell r="A165">
            <v>1915034</v>
          </cell>
          <cell r="F165" t="str">
            <v>NEW BALANCE</v>
          </cell>
          <cell r="H165" t="str">
            <v>M2002RDB</v>
          </cell>
          <cell r="I165" t="str">
            <v>New Balance 2002r Protection Pack «Phantom»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65">
            <v>40.5</v>
          </cell>
          <cell r="L165">
            <v>35000</v>
          </cell>
          <cell r="M165" t="str">
            <v>Черный</v>
          </cell>
        </row>
        <row r="166">
          <cell r="A166">
            <v>1915044</v>
          </cell>
          <cell r="F166" t="str">
            <v>NEW BALANCE</v>
          </cell>
          <cell r="H166" t="str">
            <v>M1906DF</v>
          </cell>
          <cell r="I166" t="str">
            <v>New Balance 1906R Refined Future Black 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66">
            <v>39.5</v>
          </cell>
          <cell r="L166">
            <v>23900</v>
          </cell>
          <cell r="M166" t="str">
            <v>Черный</v>
          </cell>
        </row>
        <row r="167">
          <cell r="A167">
            <v>1915047</v>
          </cell>
          <cell r="F167" t="str">
            <v>ADIDAS</v>
          </cell>
          <cell r="H167" t="str">
            <v>IG5929</v>
          </cell>
          <cell r="I167" t="str">
            <v>Adidas Gazelle «Collegiate Green Pink»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67">
            <v>40</v>
          </cell>
          <cell r="L167">
            <v>24000</v>
          </cell>
          <cell r="M167" t="str">
            <v>Зелёный</v>
          </cell>
        </row>
        <row r="168">
          <cell r="A168">
            <v>1915050</v>
          </cell>
          <cell r="F168" t="str">
            <v>ADIDAS</v>
          </cell>
          <cell r="H168" t="str">
            <v>IE7002</v>
          </cell>
          <cell r="I168" t="str">
            <v>Adidas Gazelle «Bliss Pink Purple»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68">
            <v>37</v>
          </cell>
          <cell r="L168">
            <v>24000</v>
          </cell>
          <cell r="M168" t="str">
            <v>Розовый</v>
          </cell>
        </row>
        <row r="169">
          <cell r="A169">
            <v>1915051</v>
          </cell>
          <cell r="F169" t="str">
            <v>ADIDAS</v>
          </cell>
          <cell r="H169" t="str">
            <v>IE7002</v>
          </cell>
          <cell r="I169" t="str">
            <v>Adidas Gazelle «Bliss Pink Purple»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69">
            <v>38</v>
          </cell>
          <cell r="L169">
            <v>24000</v>
          </cell>
          <cell r="M169" t="str">
            <v>Розовый</v>
          </cell>
        </row>
        <row r="170">
          <cell r="A170">
            <v>1915053</v>
          </cell>
          <cell r="F170" t="str">
            <v>JORDAN</v>
          </cell>
          <cell r="H170" t="str">
            <v>AO9944-441</v>
          </cell>
          <cell r="I170" t="str">
            <v>WMNS AIR JORDAN 1 LOW 'UNC'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170">
            <v>38</v>
          </cell>
          <cell r="L170">
            <v>20000</v>
          </cell>
          <cell r="M170" t="str">
            <v>Голубой</v>
          </cell>
        </row>
        <row r="171">
          <cell r="A171">
            <v>1915055</v>
          </cell>
          <cell r="F171" t="str">
            <v>JORDAN</v>
          </cell>
          <cell r="H171" t="str">
            <v>AO9944-441</v>
          </cell>
          <cell r="I171" t="str">
            <v>WMNS AIR JORDAN 1 LOW 'UNC'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171">
            <v>39</v>
          </cell>
          <cell r="L171">
            <v>20000</v>
          </cell>
          <cell r="M171" t="str">
            <v>Голубой</v>
          </cell>
        </row>
        <row r="172">
          <cell r="A172">
            <v>1915073</v>
          </cell>
          <cell r="F172" t="str">
            <v>ADIDAS</v>
          </cell>
          <cell r="H172" t="str">
            <v>ID2054</v>
          </cell>
          <cell r="I172" t="str">
            <v>Adidas Samba OG “Collegiate Green Gum”
4 US // 36 EU // 22 CM
5 US // 37 EU // 23 CM
5.5 US // 38 EU // 23.5 CM
6.5 US // 39 EU // 24.5 CM
7 US // 40 EU //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72">
            <v>39</v>
          </cell>
          <cell r="L172">
            <v>18000</v>
          </cell>
          <cell r="M172" t="str">
            <v>Зелёный</v>
          </cell>
        </row>
        <row r="173">
          <cell r="A173">
            <v>1973584</v>
          </cell>
          <cell r="F173" t="str">
            <v>ADIDAS</v>
          </cell>
          <cell r="H173" t="str">
            <v>ID2054</v>
          </cell>
          <cell r="I173" t="str">
            <v>Adidas Samba OG “Collegiate Green Gum”
4 US // 36 EU // 22 CM
5 US // 37 EU // 23 CM
5.5 US // 38 EU // 23.5 CM
6.5 US // 39 EU // 24.5 CM
7 US // 40 EU //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73">
            <v>37</v>
          </cell>
          <cell r="L173">
            <v>18000</v>
          </cell>
          <cell r="M173" t="str">
            <v>Зелёный</v>
          </cell>
        </row>
        <row r="174">
          <cell r="A174">
            <v>1973585</v>
          </cell>
          <cell r="F174" t="str">
            <v>ADIDAS</v>
          </cell>
          <cell r="H174" t="str">
            <v>IG0671</v>
          </cell>
          <cell r="I174" t="str">
            <v>adidas Gazelle Court Green Footwear White
5.5 US / 38 EU / 23.5 CM
6 US / 38 2.3 EU / 24 CM
6.5 US / 39 1.3 EU / 24.5 CM
7 US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74">
            <v>38.5</v>
          </cell>
          <cell r="L174">
            <v>16000</v>
          </cell>
          <cell r="M174" t="str">
            <v>Зелёный</v>
          </cell>
        </row>
        <row r="175">
          <cell r="A175">
            <v>1978525</v>
          </cell>
          <cell r="F175" t="str">
            <v>NIKE</v>
          </cell>
          <cell r="H175" t="str">
            <v>FN8923</v>
          </cell>
          <cell r="I175" t="str">
            <v>WMNS DUNK LOW SE 'ALL PETALS UNITED'</v>
          </cell>
          <cell r="J175">
            <v>38</v>
          </cell>
          <cell r="L175">
            <v>20000</v>
          </cell>
          <cell r="M175" t="str">
            <v>Зелёный</v>
          </cell>
        </row>
        <row r="176">
          <cell r="A176">
            <v>1980152</v>
          </cell>
          <cell r="F176" t="str">
            <v>ADIDAS</v>
          </cell>
          <cell r="H176" t="str">
            <v>H06259</v>
          </cell>
          <cell r="I176" t="str">
            <v>Gazelle Indoor 'Black White Gum'</v>
          </cell>
          <cell r="J176">
            <v>40.5</v>
          </cell>
          <cell r="L176">
            <v>19000</v>
          </cell>
          <cell r="M176" t="str">
            <v>Черный</v>
          </cell>
        </row>
        <row r="177">
          <cell r="A177">
            <v>2012258</v>
          </cell>
          <cell r="F177" t="str">
            <v>ADIDAS</v>
          </cell>
          <cell r="H177" t="str">
            <v>IE0872</v>
          </cell>
          <cell r="I177" t="str">
            <v>WMNS Adidas Samba OG Green Leather 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177">
            <v>36.5</v>
          </cell>
          <cell r="L177">
            <v>24000</v>
          </cell>
          <cell r="M177" t="str">
            <v>Зелёный</v>
          </cell>
        </row>
        <row r="178">
          <cell r="A178">
            <v>2012259</v>
          </cell>
          <cell r="F178" t="str">
            <v>ADIDAS</v>
          </cell>
          <cell r="H178" t="str">
            <v>IE0872</v>
          </cell>
          <cell r="I178" t="str">
            <v>WMNS Adidas Samba OG Green Leather 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178">
            <v>37</v>
          </cell>
          <cell r="L178">
            <v>24000</v>
          </cell>
          <cell r="M178" t="str">
            <v>Зелёный</v>
          </cell>
        </row>
        <row r="179">
          <cell r="A179">
            <v>2012261</v>
          </cell>
          <cell r="F179" t="str">
            <v>ADIDAS</v>
          </cell>
          <cell r="H179" t="str">
            <v>IE0872</v>
          </cell>
          <cell r="I179" t="str">
            <v>WMNS Adidas Samba OG Green Leather 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179">
            <v>38.5</v>
          </cell>
          <cell r="L179">
            <v>24000</v>
          </cell>
          <cell r="M179" t="str">
            <v>Зелёный</v>
          </cell>
        </row>
        <row r="180">
          <cell r="A180">
            <v>2012262</v>
          </cell>
          <cell r="F180" t="str">
            <v>ADIDAS</v>
          </cell>
          <cell r="H180" t="str">
            <v>IE0872</v>
          </cell>
          <cell r="I180" t="str">
            <v>WMNS Adidas Samba OG Green Leather 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180">
            <v>39</v>
          </cell>
          <cell r="L180">
            <v>24000</v>
          </cell>
          <cell r="M180" t="str">
            <v>Зелёный</v>
          </cell>
        </row>
        <row r="181">
          <cell r="A181">
            <v>2012263</v>
          </cell>
          <cell r="F181" t="str">
            <v>ADIDAS</v>
          </cell>
          <cell r="H181" t="str">
            <v>IE0872</v>
          </cell>
          <cell r="I181" t="str">
            <v>WMNS Adidas Samba OG Green Leather 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181">
            <v>40</v>
          </cell>
          <cell r="L181">
            <v>24000</v>
          </cell>
          <cell r="M181" t="str">
            <v>Зелёный</v>
          </cell>
        </row>
        <row r="182">
          <cell r="A182">
            <v>2013166</v>
          </cell>
          <cell r="F182" t="str">
            <v>NIKE</v>
          </cell>
          <cell r="H182" t="str">
            <v>DD1503-103</v>
          </cell>
          <cell r="I182" t="str">
            <v>Nike Dunk Low Photon Dust (W)</v>
          </cell>
          <cell r="J182">
            <v>38</v>
          </cell>
          <cell r="L182">
            <v>24000</v>
          </cell>
          <cell r="M182" t="str">
            <v>Серый</v>
          </cell>
        </row>
        <row r="183">
          <cell r="A183">
            <v>2013167</v>
          </cell>
          <cell r="F183" t="str">
            <v>NIKE</v>
          </cell>
          <cell r="H183" t="str">
            <v>DD1503-103</v>
          </cell>
          <cell r="I183" t="str">
            <v>Nike Dunk Low Photon Dust (W)</v>
          </cell>
          <cell r="J183">
            <v>38.5</v>
          </cell>
          <cell r="L183">
            <v>24000</v>
          </cell>
          <cell r="M183" t="str">
            <v>Серый</v>
          </cell>
        </row>
        <row r="184">
          <cell r="A184">
            <v>2032012</v>
          </cell>
          <cell r="F184" t="str">
            <v>ADIDAS</v>
          </cell>
          <cell r="H184" t="str">
            <v>IE3691</v>
          </cell>
          <cell r="I184" t="str">
            <v>adidas originals Gazelle Alumina Preloved Green</v>
          </cell>
          <cell r="J184">
            <v>39</v>
          </cell>
          <cell r="L184">
            <v>12900</v>
          </cell>
          <cell r="M184" t="str">
            <v>Зелёный</v>
          </cell>
        </row>
        <row r="185">
          <cell r="A185">
            <v>2032013</v>
          </cell>
          <cell r="F185" t="str">
            <v>ADIDAS</v>
          </cell>
          <cell r="H185" t="str">
            <v>ID3518</v>
          </cell>
          <cell r="I185" t="str">
            <v>FOOT INDUSTRY X GAZELLE INDOOR 'OFF WHITE GREEN'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185">
            <v>41</v>
          </cell>
          <cell r="L185">
            <v>25000</v>
          </cell>
          <cell r="M185" t="str">
            <v>Зелёный</v>
          </cell>
        </row>
        <row r="186">
          <cell r="A186">
            <v>2032061</v>
          </cell>
          <cell r="F186" t="str">
            <v>NIKE</v>
          </cell>
          <cell r="H186" t="str">
            <v>FD0736-101</v>
          </cell>
          <cell r="I186" t="str">
            <v>Nike V2K Runner Platinum Green
36 EU
36,5 EU
37,5 EU
38 EU
38,5 EU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86">
            <v>36.5</v>
          </cell>
          <cell r="L186">
            <v>22000</v>
          </cell>
          <cell r="M186" t="str">
            <v>Зелёный</v>
          </cell>
        </row>
        <row r="187">
          <cell r="A187">
            <v>2039989</v>
          </cell>
          <cell r="F187" t="str">
            <v>NEW BALANCE</v>
          </cell>
          <cell r="H187" t="str">
            <v>M1906DA</v>
          </cell>
          <cell r="I187" t="str">
            <v>New Balance 1906R Refined Future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187">
            <v>39.5</v>
          </cell>
          <cell r="L187">
            <v>24000</v>
          </cell>
          <cell r="M187" t="str">
            <v>Серый</v>
          </cell>
        </row>
        <row r="188">
          <cell r="A188">
            <v>2089186</v>
          </cell>
          <cell r="F188" t="str">
            <v>ADIDAS</v>
          </cell>
          <cell r="H188" t="str">
            <v>IE0872</v>
          </cell>
          <cell r="I188" t="str">
            <v>WMNS Adidas Samba OG Green Leather 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188">
            <v>40.5</v>
          </cell>
          <cell r="L188">
            <v>24000</v>
          </cell>
          <cell r="M188" t="str">
            <v>Зелёный</v>
          </cell>
        </row>
        <row r="189">
          <cell r="A189">
            <v>2089188</v>
          </cell>
          <cell r="F189" t="str">
            <v>NIKE</v>
          </cell>
          <cell r="H189" t="str">
            <v>DD1503-103</v>
          </cell>
          <cell r="I189" t="str">
            <v>Nike Dunk Low Photon Dust (W)</v>
          </cell>
          <cell r="J189">
            <v>38</v>
          </cell>
          <cell r="L189">
            <v>24000</v>
          </cell>
          <cell r="M189" t="str">
            <v>Серый</v>
          </cell>
        </row>
        <row r="190">
          <cell r="A190">
            <v>2089849</v>
          </cell>
          <cell r="F190" t="str">
            <v>JORDAN</v>
          </cell>
          <cell r="H190" t="str">
            <v>DZ4137-106</v>
          </cell>
          <cell r="I190" t="str">
            <v>Jordan 1 Low Travis Scott Medium Olive
• Отправка сразу после оплаты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90">
            <v>43</v>
          </cell>
          <cell r="L190">
            <v>180000</v>
          </cell>
          <cell r="M190" t="str">
            <v>Зелёный</v>
          </cell>
        </row>
        <row r="191">
          <cell r="A191">
            <v>2089850</v>
          </cell>
          <cell r="F191" t="str">
            <v>NEW BALANCE</v>
          </cell>
          <cell r="H191" t="str">
            <v>M1906RP</v>
          </cell>
          <cell r="I191" t="str">
            <v>New Balance 1906R Sea Salt Marblehead
• Отправка сразу после оплаты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91">
            <v>37.5</v>
          </cell>
          <cell r="L191">
            <v>21500</v>
          </cell>
          <cell r="M191" t="str">
            <v>Серый</v>
          </cell>
        </row>
        <row r="192">
          <cell r="A192">
            <v>2091541</v>
          </cell>
          <cell r="F192" t="str">
            <v>ADIDAS</v>
          </cell>
          <cell r="H192" t="str">
            <v>IF5661</v>
          </cell>
          <cell r="I192" t="str">
            <v>adidas Samba Sporty and Rich Yellow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92">
            <v>38</v>
          </cell>
          <cell r="L192">
            <v>29000</v>
          </cell>
          <cell r="M192" t="str">
            <v>Желтый</v>
          </cell>
        </row>
        <row r="193">
          <cell r="A193">
            <v>2091543</v>
          </cell>
          <cell r="F193" t="str">
            <v>ADIDAS</v>
          </cell>
          <cell r="H193" t="str">
            <v>IF5661</v>
          </cell>
          <cell r="I193" t="str">
            <v>adidas Samba Sporty and Rich Yellow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93">
            <v>40</v>
          </cell>
          <cell r="L193">
            <v>29000</v>
          </cell>
          <cell r="M193" t="str">
            <v>Желтый</v>
          </cell>
        </row>
        <row r="194">
          <cell r="A194">
            <v>2154384</v>
          </cell>
          <cell r="F194" t="str">
            <v>NIKE</v>
          </cell>
          <cell r="H194" t="str">
            <v>DD1503-001</v>
          </cell>
          <cell r="I194" t="str">
            <v>Nike Dunk Low Easter 2022 (W)</v>
          </cell>
          <cell r="J194">
            <v>37.5</v>
          </cell>
          <cell r="L194">
            <v>12500</v>
          </cell>
          <cell r="M194" t="str">
            <v>Розовый</v>
          </cell>
        </row>
        <row r="195">
          <cell r="A195">
            <v>2170542</v>
          </cell>
          <cell r="F195" t="str">
            <v>ADIDAS</v>
          </cell>
          <cell r="H195" t="str">
            <v>IG5929</v>
          </cell>
          <cell r="I195" t="str">
            <v>Adidas Gazelle «Collegiate Green Pink»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95">
            <v>40</v>
          </cell>
          <cell r="L195">
            <v>24000</v>
          </cell>
          <cell r="M195" t="str">
            <v>Зелёный</v>
          </cell>
        </row>
        <row r="196">
          <cell r="A196">
            <v>2170558</v>
          </cell>
          <cell r="F196" t="str">
            <v>NEW BALANCE</v>
          </cell>
          <cell r="H196" t="str">
            <v>M1906RCB</v>
          </cell>
          <cell r="I196" t="str">
            <v>New Balance 1906R Silver
5.5 US / 38 EU / 23.5 CM
6 US / 38.5 EU / 24 CM
6.5 US / 39.5 EU / 24.5 CM
7 US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96">
            <v>38.5</v>
          </cell>
          <cell r="L196">
            <v>20000</v>
          </cell>
          <cell r="M196" t="str">
            <v>Серый</v>
          </cell>
        </row>
        <row r="197">
          <cell r="A197">
            <v>2646632</v>
          </cell>
          <cell r="F197" t="str">
            <v>ADIDAS</v>
          </cell>
          <cell r="H197" t="str">
            <v>IG1024</v>
          </cell>
          <cell r="I197" t="str">
            <v>Adidas Samba OG “White Green”
4 US // 36 EU // 22 CM
5 US // 37 EU // 23 CM
5.5 US // 38 EU // 23.5 CM
7 US // 40 EU // 25 CM
7.5 US // 40.5 EU // 25.5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97">
            <v>38</v>
          </cell>
          <cell r="L197">
            <v>18000</v>
          </cell>
          <cell r="M197" t="str">
            <v>Зелёный</v>
          </cell>
        </row>
        <row r="198">
          <cell r="A198">
            <v>2646647</v>
          </cell>
          <cell r="F198" t="str">
            <v>ADIDAS</v>
          </cell>
          <cell r="H198" t="str">
            <v>IG1024</v>
          </cell>
          <cell r="I198" t="str">
            <v>Adidas Samba OG “White Green”
4 US // 36 EU // 22 CM
5 US // 37 EU // 23 CM
5.5 US // 38 EU // 23.5 CM
7 US // 40 EU // 25 CM
7.5 US // 40.5 EU // 25.5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198">
            <v>39</v>
          </cell>
          <cell r="L198">
            <v>18000</v>
          </cell>
          <cell r="M198" t="str">
            <v>Зелёный</v>
          </cell>
        </row>
        <row r="199">
          <cell r="A199">
            <v>2646676</v>
          </cell>
          <cell r="F199" t="str">
            <v>ADIDAS</v>
          </cell>
          <cell r="H199" t="str">
            <v>IE5836</v>
          </cell>
          <cell r="I199" t="str">
            <v>adidas Samba Black and White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199">
            <v>38.5</v>
          </cell>
          <cell r="L199">
            <v>19990</v>
          </cell>
          <cell r="M199" t="str">
            <v>Черный</v>
          </cell>
        </row>
        <row r="200">
          <cell r="A200">
            <v>3015128</v>
          </cell>
          <cell r="F200" t="str">
            <v>ADIDAS</v>
          </cell>
          <cell r="H200" t="str">
            <v>ID0477</v>
          </cell>
          <cell r="I200" t="str">
            <v>adidas Samba OG "Maroon"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00">
            <v>36.5</v>
          </cell>
          <cell r="L200">
            <v>37900</v>
          </cell>
          <cell r="M200" t="str">
            <v>Красный</v>
          </cell>
        </row>
        <row r="201">
          <cell r="A201">
            <v>3057279</v>
          </cell>
          <cell r="F201" t="str">
            <v>ADIDAS</v>
          </cell>
          <cell r="H201" t="str">
            <v>B75806</v>
          </cell>
          <cell r="I201" t="str">
            <v>Adidas Samba OG “White black Gum”
4 US // 36 EU // 22 CM
5 US // 37 EU // 23 CM
5.5 US // 38 EU // 23.5 CM
6 US // 38.5 EU // 24 CM
6.5 US // 39 EU // 24.5 CM
7 US // 40 EU //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201">
            <v>38</v>
          </cell>
          <cell r="L201">
            <v>19000</v>
          </cell>
          <cell r="M201" t="str">
            <v>Коричневый</v>
          </cell>
        </row>
        <row r="202">
          <cell r="A202">
            <v>3057295</v>
          </cell>
          <cell r="F202" t="str">
            <v>NIKE</v>
          </cell>
          <cell r="H202" t="str">
            <v>DD1503-103</v>
          </cell>
          <cell r="I202" t="str">
            <v>Nike Dunk Low Photon Dust (W)</v>
          </cell>
          <cell r="J202">
            <v>38.5</v>
          </cell>
          <cell r="L202">
            <v>24000</v>
          </cell>
          <cell r="M202" t="str">
            <v>Серый</v>
          </cell>
        </row>
        <row r="203">
          <cell r="A203">
            <v>3077066</v>
          </cell>
          <cell r="F203" t="str">
            <v>ADIDAS</v>
          </cell>
          <cell r="H203" t="str">
            <v>ID0477</v>
          </cell>
          <cell r="I203" t="str">
            <v>adidas Samba OG "Maroon"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03">
            <v>40</v>
          </cell>
          <cell r="L203">
            <v>37900</v>
          </cell>
          <cell r="M203" t="str">
            <v>Красный</v>
          </cell>
        </row>
        <row r="204">
          <cell r="A204">
            <v>3080265</v>
          </cell>
          <cell r="F204" t="str">
            <v>ADIDAS</v>
          </cell>
          <cell r="H204" t="str">
            <v>IH2610</v>
          </cell>
          <cell r="I204" t="str">
            <v>SPORTY &amp; RICH X HANDBALL SPEZIAL 'PINK GUM'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04">
            <v>36.5</v>
          </cell>
          <cell r="L204">
            <v>30000</v>
          </cell>
          <cell r="M204" t="str">
            <v>Розовый</v>
          </cell>
        </row>
        <row r="205">
          <cell r="A205">
            <v>3080266</v>
          </cell>
          <cell r="F205" t="str">
            <v>ADIDAS</v>
          </cell>
          <cell r="H205" t="str">
            <v>IH2610</v>
          </cell>
          <cell r="I205" t="str">
            <v>SPORTY &amp; RICH X HANDBALL SPEZIAL 'PINK GUM'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05">
            <v>37</v>
          </cell>
          <cell r="L205">
            <v>30000</v>
          </cell>
          <cell r="M205" t="str">
            <v>Розовый</v>
          </cell>
        </row>
        <row r="206">
          <cell r="A206">
            <v>3080267</v>
          </cell>
          <cell r="F206" t="str">
            <v>ADIDAS</v>
          </cell>
          <cell r="H206" t="str">
            <v>IH2610</v>
          </cell>
          <cell r="I206" t="str">
            <v>SPORTY &amp; RICH X HANDBALL SPEZIAL 'PINK GUM'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06">
            <v>38</v>
          </cell>
          <cell r="L206">
            <v>30000</v>
          </cell>
          <cell r="M206" t="str">
            <v>Розовый</v>
          </cell>
        </row>
        <row r="207">
          <cell r="A207">
            <v>3080269</v>
          </cell>
          <cell r="F207" t="str">
            <v>ADIDAS</v>
          </cell>
          <cell r="H207" t="str">
            <v>IH2610</v>
          </cell>
          <cell r="I207" t="str">
            <v>SPORTY &amp; RICH X HANDBALL SPEZIAL 'PINK GUM'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07">
            <v>38</v>
          </cell>
          <cell r="L207">
            <v>30000</v>
          </cell>
          <cell r="M207" t="str">
            <v>Розовый</v>
          </cell>
        </row>
        <row r="208">
          <cell r="A208">
            <v>3080271</v>
          </cell>
          <cell r="F208" t="str">
            <v>ADIDAS</v>
          </cell>
          <cell r="H208" t="str">
            <v>IH2610</v>
          </cell>
          <cell r="I208" t="str">
            <v>SPORTY &amp; RICH X HANDBALL SPEZIAL 'PINK GUM'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08">
            <v>38.5</v>
          </cell>
          <cell r="L208">
            <v>30000</v>
          </cell>
          <cell r="M208" t="str">
            <v>Розовый</v>
          </cell>
        </row>
        <row r="209">
          <cell r="A209">
            <v>3080272</v>
          </cell>
          <cell r="F209" t="str">
            <v>ADIDAS</v>
          </cell>
          <cell r="H209" t="str">
            <v>IH2610</v>
          </cell>
          <cell r="I209" t="str">
            <v>SPORTY &amp; RICH X HANDBALL SPEZIAL 'PINK GUM'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09">
            <v>39</v>
          </cell>
          <cell r="L209">
            <v>30000</v>
          </cell>
          <cell r="M209" t="str">
            <v>Розовый</v>
          </cell>
        </row>
        <row r="210">
          <cell r="A210">
            <v>3080275</v>
          </cell>
          <cell r="F210" t="str">
            <v>ADIDAS</v>
          </cell>
          <cell r="H210" t="str">
            <v>IH2148</v>
          </cell>
          <cell r="I210" t="str">
            <v>SPORTY &amp; RICH X HANDBALL SPEZIAL 'GREEN GUM'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10">
            <v>37</v>
          </cell>
          <cell r="L210">
            <v>30000</v>
          </cell>
          <cell r="M210" t="str">
            <v>Зелёный</v>
          </cell>
        </row>
        <row r="211">
          <cell r="A211">
            <v>3080278</v>
          </cell>
          <cell r="F211" t="str">
            <v>ADIDAS</v>
          </cell>
          <cell r="H211" t="str">
            <v>IH2148</v>
          </cell>
          <cell r="I211" t="str">
            <v>SPORTY &amp; RICH X HANDBALL SPEZIAL 'GREEN GUM'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11">
            <v>38.5</v>
          </cell>
          <cell r="L211">
            <v>30000</v>
          </cell>
          <cell r="M211" t="str">
            <v>Зелёный</v>
          </cell>
        </row>
        <row r="212">
          <cell r="A212">
            <v>3080280</v>
          </cell>
          <cell r="F212" t="str">
            <v>ADIDAS</v>
          </cell>
          <cell r="H212" t="str">
            <v>IH2148</v>
          </cell>
          <cell r="I212" t="str">
            <v>SPORTY &amp; RICH X HANDBALL SPEZIAL 'GREEN GUM'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12">
            <v>39</v>
          </cell>
          <cell r="L212">
            <v>30000</v>
          </cell>
          <cell r="M212" t="str">
            <v>Зелёный</v>
          </cell>
        </row>
        <row r="213">
          <cell r="A213">
            <v>3080281</v>
          </cell>
          <cell r="F213" t="str">
            <v>ADIDAS</v>
          </cell>
          <cell r="H213" t="str">
            <v>IH2148</v>
          </cell>
          <cell r="I213" t="str">
            <v>SPORTY &amp; RICH X HANDBALL SPEZIAL 'GREEN GUM'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13">
            <v>40</v>
          </cell>
          <cell r="L213">
            <v>30000</v>
          </cell>
          <cell r="M213" t="str">
            <v>Зелёный</v>
          </cell>
        </row>
        <row r="214">
          <cell r="A214">
            <v>3080282</v>
          </cell>
          <cell r="F214" t="str">
            <v>ADIDAS</v>
          </cell>
          <cell r="H214" t="str">
            <v>IH2148</v>
          </cell>
          <cell r="I214" t="str">
            <v>SPORTY &amp; RICH X HANDBALL SPEZIAL 'GREEN GUM'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14">
            <v>40.5</v>
          </cell>
          <cell r="L214">
            <v>30000</v>
          </cell>
          <cell r="M214" t="str">
            <v>Зелёный</v>
          </cell>
        </row>
        <row r="215">
          <cell r="A215">
            <v>3080283</v>
          </cell>
          <cell r="F215" t="str">
            <v>ADIDAS</v>
          </cell>
          <cell r="H215" t="str">
            <v>IH5483</v>
          </cell>
          <cell r="I215" t="str">
            <v>adidas Gazelle Indoor Shadow Fig 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15">
            <v>38</v>
          </cell>
          <cell r="L215">
            <v>21000</v>
          </cell>
          <cell r="M215" t="str">
            <v>Фиолетовый</v>
          </cell>
        </row>
        <row r="216">
          <cell r="A216">
            <v>3080284</v>
          </cell>
          <cell r="F216" t="str">
            <v>ADIDAS</v>
          </cell>
          <cell r="H216" t="str">
            <v>IH5483</v>
          </cell>
          <cell r="I216" t="str">
            <v>adidas Gazelle Indoor Shadow Fig 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16">
            <v>38.5</v>
          </cell>
          <cell r="L216">
            <v>21000</v>
          </cell>
          <cell r="M216" t="str">
            <v>Фиолетовый</v>
          </cell>
        </row>
        <row r="217">
          <cell r="A217">
            <v>3080287</v>
          </cell>
          <cell r="F217" t="str">
            <v>ADIDAS</v>
          </cell>
          <cell r="H217" t="str">
            <v>JQ4749</v>
          </cell>
          <cell r="I217" t="str">
            <v>CAROLINE HU X CLOT X SAMBA 'REVERIE - BLACK'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17">
            <v>38</v>
          </cell>
          <cell r="L217">
            <v>40000</v>
          </cell>
          <cell r="M217" t="str">
            <v>Черный</v>
          </cell>
        </row>
        <row r="218">
          <cell r="A218">
            <v>3080288</v>
          </cell>
          <cell r="F218" t="str">
            <v>ADIDAS</v>
          </cell>
          <cell r="H218" t="str">
            <v>JQ4749</v>
          </cell>
          <cell r="I218" t="str">
            <v>CAROLINE HU X CLOT X SAMBA 'REVERIE - BLACK'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18">
            <v>38.5</v>
          </cell>
          <cell r="L218">
            <v>40000</v>
          </cell>
          <cell r="M218" t="str">
            <v>Черный</v>
          </cell>
        </row>
        <row r="219">
          <cell r="A219">
            <v>3080290</v>
          </cell>
          <cell r="F219" t="str">
            <v>ADIDAS</v>
          </cell>
          <cell r="H219" t="str">
            <v>JQ4748</v>
          </cell>
          <cell r="I219" t="str">
            <v>CAROLINE HU X CLOT X SAMBA 'REVERIE - OFF WHITE'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19">
            <v>38</v>
          </cell>
          <cell r="L219">
            <v>40000</v>
          </cell>
          <cell r="M219" t="str">
            <v>Черный</v>
          </cell>
        </row>
        <row r="220">
          <cell r="A220">
            <v>3080291</v>
          </cell>
          <cell r="F220" t="str">
            <v>ADIDAS</v>
          </cell>
          <cell r="H220" t="str">
            <v>JQ4748</v>
          </cell>
          <cell r="I220" t="str">
            <v>CAROLINE HU X CLOT X SAMBA 'REVERIE - OFF WHITE'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20">
            <v>38.5</v>
          </cell>
          <cell r="L220">
            <v>40000</v>
          </cell>
          <cell r="M220" t="str">
            <v>Черный</v>
          </cell>
        </row>
        <row r="221">
          <cell r="A221">
            <v>3080301</v>
          </cell>
          <cell r="F221" t="str">
            <v>NIKE</v>
          </cell>
          <cell r="H221" t="str">
            <v>DQ8580-100</v>
          </cell>
          <cell r="I221" t="str">
            <v>WMNS DUNK LOW 'VINTAGE GREEN'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21">
            <v>38</v>
          </cell>
          <cell r="L221">
            <v>12000</v>
          </cell>
          <cell r="M221" t="str">
            <v>Зелёный</v>
          </cell>
        </row>
        <row r="222">
          <cell r="A222">
            <v>3080302</v>
          </cell>
          <cell r="F222" t="str">
            <v>NIKE</v>
          </cell>
          <cell r="H222" t="str">
            <v>DQ8580-100</v>
          </cell>
          <cell r="I222" t="str">
            <v>WMNS DUNK LOW 'VINTAGE GREEN'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22">
            <v>38.5</v>
          </cell>
          <cell r="L222">
            <v>12000</v>
          </cell>
          <cell r="M222" t="str">
            <v>Зелёный</v>
          </cell>
        </row>
        <row r="223">
          <cell r="A223">
            <v>3080303</v>
          </cell>
          <cell r="F223" t="str">
            <v>NIKE</v>
          </cell>
          <cell r="H223" t="str">
            <v>DQ8580-100</v>
          </cell>
          <cell r="I223" t="str">
            <v>WMNS DUNK LOW 'VINTAGE GREEN'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23">
            <v>39</v>
          </cell>
          <cell r="L223">
            <v>12000</v>
          </cell>
          <cell r="M223" t="str">
            <v>Зелёный</v>
          </cell>
        </row>
        <row r="224">
          <cell r="A224">
            <v>3080305</v>
          </cell>
          <cell r="F224" t="str">
            <v>NIKE</v>
          </cell>
          <cell r="H224" t="str">
            <v>DQ8580-100</v>
          </cell>
          <cell r="I224" t="str">
            <v>WMNS DUNK LOW 'VINTAGE GREEN'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24">
            <v>40.5</v>
          </cell>
          <cell r="L224">
            <v>12000</v>
          </cell>
          <cell r="M224" t="str">
            <v>Зелёный</v>
          </cell>
        </row>
        <row r="225">
          <cell r="A225">
            <v>3080307</v>
          </cell>
          <cell r="F225" t="str">
            <v>NIKE</v>
          </cell>
          <cell r="H225" t="str">
            <v>FD2562-400</v>
          </cell>
          <cell r="I225" t="str">
            <v>APRIL SKATEBOARDS X DUNK LOW SB 'TURBO GREEN'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25">
            <v>39</v>
          </cell>
          <cell r="L225">
            <v>32000</v>
          </cell>
          <cell r="M225" t="str">
            <v>Белый</v>
          </cell>
        </row>
        <row r="226">
          <cell r="A226">
            <v>3080308</v>
          </cell>
          <cell r="F226" t="str">
            <v>NIKE</v>
          </cell>
          <cell r="H226" t="str">
            <v>CW1590-102</v>
          </cell>
          <cell r="I226" t="str">
            <v>DUNK LOW GS 'MICHIGAN STATE'
5.5 US / 38 EU / 24 CM
6 US / 38.5 EU / 24 CM
6.5 US / 39 EU / 24.5 CM
7 US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226">
            <v>37.5</v>
          </cell>
          <cell r="L226">
            <v>20000</v>
          </cell>
          <cell r="M226" t="str">
            <v>Зелёный</v>
          </cell>
        </row>
        <row r="227">
          <cell r="A227">
            <v>3080309</v>
          </cell>
          <cell r="F227" t="str">
            <v>NIKE</v>
          </cell>
          <cell r="H227" t="str">
            <v>CW1590-102</v>
          </cell>
          <cell r="I227" t="str">
            <v>DUNK LOW GS 'MICHIGAN STATE'
5.5 US / 38 EU / 24 CM
6 US / 38.5 EU / 24 CM
6.5 US / 39 EU / 24.5 CM
7 US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227">
            <v>38.5</v>
          </cell>
          <cell r="L227">
            <v>20000</v>
          </cell>
          <cell r="M227" t="str">
            <v>Зелёный</v>
          </cell>
        </row>
        <row r="228">
          <cell r="A228">
            <v>3080310</v>
          </cell>
          <cell r="F228" t="str">
            <v>NIKE</v>
          </cell>
          <cell r="H228" t="str">
            <v>CW1590-102</v>
          </cell>
          <cell r="I228" t="str">
            <v>DUNK LOW GS 'MICHIGAN STATE'
5.5 US / 38 EU / 24 CM
6 US / 38.5 EU / 24 CM
6.5 US / 39 EU / 24.5 CM
7 US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228">
            <v>39</v>
          </cell>
          <cell r="L228">
            <v>20000</v>
          </cell>
          <cell r="M228" t="str">
            <v>Зелёный</v>
          </cell>
        </row>
        <row r="229">
          <cell r="A229">
            <v>3080311</v>
          </cell>
          <cell r="F229" t="str">
            <v>NIKE</v>
          </cell>
          <cell r="H229" t="str">
            <v>CW1590-102</v>
          </cell>
          <cell r="I229" t="str">
            <v>DUNK LOW GS 'MICHIGAN STATE'
5.5 US / 38 EU / 24 CM
6 US / 38.5 EU / 24 CM
6.5 US / 39 EU / 24.5 CM
7 US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229">
            <v>40</v>
          </cell>
          <cell r="L229">
            <v>20000</v>
          </cell>
          <cell r="M229" t="str">
            <v>Зелёный</v>
          </cell>
        </row>
        <row r="230">
          <cell r="A230">
            <v>3080322</v>
          </cell>
          <cell r="F230" t="str">
            <v>ADIDAS</v>
          </cell>
          <cell r="H230" t="str">
            <v>IF3813</v>
          </cell>
          <cell r="I230" t="str">
            <v>Samba OG Burgundy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30">
            <v>39</v>
          </cell>
          <cell r="L230">
            <v>23500</v>
          </cell>
          <cell r="M230" t="str">
            <v>Белый</v>
          </cell>
        </row>
        <row r="231">
          <cell r="A231">
            <v>3080323</v>
          </cell>
          <cell r="F231" t="str">
            <v>ADIDAS</v>
          </cell>
          <cell r="H231" t="str">
            <v>IF3813</v>
          </cell>
          <cell r="I231" t="str">
            <v>Samba OG Burgundy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31">
            <v>40</v>
          </cell>
          <cell r="L231">
            <v>23500</v>
          </cell>
          <cell r="M231" t="str">
            <v>Белый</v>
          </cell>
        </row>
        <row r="232">
          <cell r="A232">
            <v>3080324</v>
          </cell>
          <cell r="F232" t="str">
            <v>ADIDAS</v>
          </cell>
          <cell r="H232" t="str">
            <v>IF3813</v>
          </cell>
          <cell r="I232" t="str">
            <v>Samba OG Burgundy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32">
            <v>40.5</v>
          </cell>
          <cell r="L232">
            <v>23500</v>
          </cell>
          <cell r="M232" t="str">
            <v>Белый</v>
          </cell>
        </row>
        <row r="233">
          <cell r="A233">
            <v>3080325</v>
          </cell>
          <cell r="F233" t="str">
            <v>ADIDAS</v>
          </cell>
          <cell r="H233" t="str">
            <v>IG5929</v>
          </cell>
          <cell r="I233" t="str">
            <v>Adidas Gazelle «Collegiate Green Pink»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233">
            <v>36.5</v>
          </cell>
          <cell r="L233">
            <v>24000</v>
          </cell>
          <cell r="M233" t="str">
            <v>Зелёный</v>
          </cell>
        </row>
        <row r="234">
          <cell r="A234">
            <v>3080326</v>
          </cell>
          <cell r="F234" t="str">
            <v>ADIDAS</v>
          </cell>
          <cell r="H234" t="str">
            <v>IG5929</v>
          </cell>
          <cell r="I234" t="str">
            <v>Adidas Gazelle «Collegiate Green Pink»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234">
            <v>37</v>
          </cell>
          <cell r="L234">
            <v>24000</v>
          </cell>
          <cell r="M234" t="str">
            <v>Зелёный</v>
          </cell>
        </row>
        <row r="235">
          <cell r="A235">
            <v>3080327</v>
          </cell>
          <cell r="F235" t="str">
            <v>ADIDAS</v>
          </cell>
          <cell r="H235" t="str">
            <v>IG5929</v>
          </cell>
          <cell r="I235" t="str">
            <v>Adidas Gazelle «Collegiate Green Pink»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235">
            <v>38.5</v>
          </cell>
          <cell r="L235">
            <v>24000</v>
          </cell>
          <cell r="M235" t="str">
            <v>Зелёный</v>
          </cell>
        </row>
        <row r="236">
          <cell r="A236">
            <v>3080328</v>
          </cell>
          <cell r="F236" t="str">
            <v>ADIDAS</v>
          </cell>
          <cell r="H236" t="str">
            <v>IE7002</v>
          </cell>
          <cell r="I236" t="str">
            <v>Adidas Gazelle «Bliss Pink Purple»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236">
            <v>38.5</v>
          </cell>
          <cell r="L236">
            <v>24000</v>
          </cell>
          <cell r="M236" t="str">
            <v>Розовый</v>
          </cell>
        </row>
        <row r="237">
          <cell r="A237">
            <v>3080330</v>
          </cell>
          <cell r="F237" t="str">
            <v>JORDAN</v>
          </cell>
          <cell r="H237" t="str">
            <v>DC0774-304</v>
          </cell>
          <cell r="I237" t="str">
            <v>Jordan 1 Low Lucky Green 
39 eur 
Новые, в наличие</v>
          </cell>
          <cell r="J237">
            <v>39</v>
          </cell>
          <cell r="L237">
            <v>9000</v>
          </cell>
          <cell r="M237" t="str">
            <v>Зелёный</v>
          </cell>
        </row>
        <row r="238">
          <cell r="A238">
            <v>3083820</v>
          </cell>
          <cell r="F238" t="str">
            <v>ADIDAS</v>
          </cell>
          <cell r="H238" t="str">
            <v>ID0477</v>
          </cell>
          <cell r="I238" t="str">
            <v>adidas Samba OG "Maroon"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38">
            <v>38</v>
          </cell>
          <cell r="L238">
            <v>37900</v>
          </cell>
          <cell r="M238" t="str">
            <v>Красный</v>
          </cell>
        </row>
        <row r="239">
          <cell r="A239">
            <v>3083825</v>
          </cell>
          <cell r="F239" t="str">
            <v>ADIDAS</v>
          </cell>
          <cell r="H239" t="str">
            <v>IG1357</v>
          </cell>
          <cell r="I239" t="str">
            <v>SAMBA OG 'PRELOVED BROWN'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39">
            <v>37</v>
          </cell>
          <cell r="L239">
            <v>25000</v>
          </cell>
          <cell r="M239" t="str">
            <v>Коричневый</v>
          </cell>
        </row>
        <row r="240">
          <cell r="A240">
            <v>3083826</v>
          </cell>
          <cell r="F240" t="str">
            <v>ADIDAS</v>
          </cell>
          <cell r="H240" t="str">
            <v>IG1357</v>
          </cell>
          <cell r="I240" t="str">
            <v>SAMBA OG 'PRELOVED BROWN'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40">
            <v>39</v>
          </cell>
          <cell r="L240">
            <v>25000</v>
          </cell>
          <cell r="M240" t="str">
            <v>Коричневый</v>
          </cell>
        </row>
        <row r="241">
          <cell r="A241">
            <v>3084883</v>
          </cell>
          <cell r="F241" t="str">
            <v>ADIDAS</v>
          </cell>
          <cell r="H241" t="str">
            <v>IF6561</v>
          </cell>
          <cell r="I241" t="str">
            <v>ADIDAS WMNS HANDBALL SPEZIAL 'CLEAR PINK ARCTIC NIGHT'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41">
            <v>38</v>
          </cell>
          <cell r="L241">
            <v>22000</v>
          </cell>
          <cell r="M241" t="str">
            <v>Розовый</v>
          </cell>
        </row>
        <row r="242">
          <cell r="A242">
            <v>3084884</v>
          </cell>
          <cell r="F242" t="str">
            <v>ADIDAS</v>
          </cell>
          <cell r="H242" t="str">
            <v>IF6561</v>
          </cell>
          <cell r="I242" t="str">
            <v>ADIDAS WMNS HANDBALL SPEZIAL 'CLEAR PINK ARCTIC NIGHT'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42">
            <v>39</v>
          </cell>
          <cell r="L242">
            <v>22000</v>
          </cell>
          <cell r="M242" t="str">
            <v>Розовый</v>
          </cell>
        </row>
        <row r="243">
          <cell r="A243">
            <v>3084888</v>
          </cell>
          <cell r="F243" t="str">
            <v>ADIDAS</v>
          </cell>
          <cell r="H243" t="str">
            <v>IF3233</v>
          </cell>
          <cell r="I243" t="str">
            <v>ADIDAS WMNS GAZELLE 'SHADOW BROWN'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43">
            <v>38.5</v>
          </cell>
          <cell r="L243">
            <v>22000</v>
          </cell>
          <cell r="M243" t="str">
            <v>Коричневый</v>
          </cell>
        </row>
        <row r="244">
          <cell r="A244">
            <v>3084889</v>
          </cell>
          <cell r="F244" t="str">
            <v>ADIDAS</v>
          </cell>
          <cell r="H244" t="str">
            <v>IF3233</v>
          </cell>
          <cell r="I244" t="str">
            <v>ADIDAS WMNS GAZELLE 'SHADOW BROWN'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44">
            <v>39</v>
          </cell>
          <cell r="L244">
            <v>22000</v>
          </cell>
          <cell r="M244" t="str">
            <v>Коричневый</v>
          </cell>
        </row>
        <row r="245">
          <cell r="A245">
            <v>3084890</v>
          </cell>
          <cell r="F245" t="str">
            <v>ADIDAS</v>
          </cell>
          <cell r="H245" t="str">
            <v>IF3233</v>
          </cell>
          <cell r="I245" t="str">
            <v>ADIDAS WMNS GAZELLE 'SHADOW BROWN'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45">
            <v>40</v>
          </cell>
          <cell r="L245">
            <v>22000</v>
          </cell>
          <cell r="M245" t="str">
            <v>Коричневый</v>
          </cell>
        </row>
        <row r="246">
          <cell r="A246">
            <v>3084891</v>
          </cell>
          <cell r="F246" t="str">
            <v>ASICS</v>
          </cell>
          <cell r="H246" t="str">
            <v>THL7C2-9399</v>
          </cell>
          <cell r="I246" t="str">
            <v>MEXICO 66 'CHROME SILVER'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46">
            <v>37.5</v>
          </cell>
          <cell r="L246">
            <v>25000</v>
          </cell>
          <cell r="M246" t="str">
            <v>Серый</v>
          </cell>
        </row>
        <row r="247">
          <cell r="A247">
            <v>3084892</v>
          </cell>
          <cell r="F247" t="str">
            <v>ASICS</v>
          </cell>
          <cell r="H247" t="str">
            <v>THL7C2-9399</v>
          </cell>
          <cell r="I247" t="str">
            <v>MEXICO 66 'CHROME SILVER'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47">
            <v>38</v>
          </cell>
          <cell r="L247">
            <v>25000</v>
          </cell>
          <cell r="M247" t="str">
            <v>Серый</v>
          </cell>
        </row>
        <row r="248">
          <cell r="A248">
            <v>3084895</v>
          </cell>
          <cell r="F248" t="str">
            <v>JORDAN</v>
          </cell>
          <cell r="H248" t="str">
            <v>FN5032-200</v>
          </cell>
          <cell r="I248" t="str">
            <v>WMNS JORDAN 1 LOW METHOD OF MAKE 'LEGEND LIGHT BROWN'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48">
            <v>38</v>
          </cell>
          <cell r="L248">
            <v>22000</v>
          </cell>
          <cell r="M248" t="str">
            <v>Белый</v>
          </cell>
        </row>
        <row r="249">
          <cell r="A249">
            <v>3086909</v>
          </cell>
          <cell r="F249" t="str">
            <v>ADIDAS</v>
          </cell>
          <cell r="H249" t="str">
            <v>IE3437</v>
          </cell>
          <cell r="I249" t="str">
            <v>SAMBA OG 'WHITE COLLEGIATE GREEN GUM'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49">
            <v>38</v>
          </cell>
          <cell r="L249">
            <v>20000</v>
          </cell>
          <cell r="M249" t="str">
            <v>Зелёный</v>
          </cell>
        </row>
        <row r="250">
          <cell r="A250">
            <v>3090870</v>
          </cell>
          <cell r="F250" t="str">
            <v>ADIDAS</v>
          </cell>
          <cell r="H250" t="str">
            <v>IE5894</v>
          </cell>
          <cell r="I250" t="str">
            <v>ADIDAS WMNS HANDBALL SPEZIAL 'BRIGHT RED CLEAR PINK'</v>
          </cell>
          <cell r="J250">
            <v>37</v>
          </cell>
          <cell r="L250">
            <v>18900</v>
          </cell>
          <cell r="M250" t="str">
            <v>Красный</v>
          </cell>
        </row>
        <row r="251">
          <cell r="A251">
            <v>3107483</v>
          </cell>
          <cell r="F251" t="str">
            <v>ADIDAS</v>
          </cell>
          <cell r="H251" t="str">
            <v>JS2778</v>
          </cell>
          <cell r="I251" t="str">
            <v>CAROLINE HU X CLOT X SAMBA 'REVERIE - BLACK LACE SHELL'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51">
            <v>38</v>
          </cell>
          <cell r="L251">
            <v>40000</v>
          </cell>
          <cell r="M251" t="str">
            <v>Черный</v>
          </cell>
        </row>
        <row r="252">
          <cell r="A252">
            <v>3107486</v>
          </cell>
          <cell r="F252" t="str">
            <v>ADIDAS</v>
          </cell>
          <cell r="H252" t="str">
            <v>IE7002</v>
          </cell>
          <cell r="I252" t="str">
            <v>Adidas Gazelle «Bliss Pink Purple»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252">
            <v>38.5</v>
          </cell>
          <cell r="L252">
            <v>24000</v>
          </cell>
          <cell r="M252" t="str">
            <v>Розовый</v>
          </cell>
        </row>
        <row r="253">
          <cell r="A253">
            <v>3107487</v>
          </cell>
          <cell r="F253" t="str">
            <v>ADIDAS</v>
          </cell>
          <cell r="H253" t="str">
            <v>IE7002</v>
          </cell>
          <cell r="I253" t="str">
            <v>Adidas Gazelle «Bliss Pink Purple»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253">
            <v>39</v>
          </cell>
          <cell r="L253">
            <v>24000</v>
          </cell>
          <cell r="M253" t="str">
            <v>Розовый</v>
          </cell>
        </row>
        <row r="254">
          <cell r="A254">
            <v>3112193</v>
          </cell>
          <cell r="F254" t="str">
            <v>ADIDAS</v>
          </cell>
          <cell r="H254" t="str">
            <v>IH7756</v>
          </cell>
          <cell r="I254" t="str">
            <v>WALES BONNER X SAMBA NYLON 'WONDER CLAY ROYAL BLUE'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54">
            <v>38</v>
          </cell>
          <cell r="L254">
            <v>36000</v>
          </cell>
          <cell r="M254" t="str">
            <v>Синий</v>
          </cell>
        </row>
        <row r="255">
          <cell r="A255">
            <v>3112194</v>
          </cell>
          <cell r="F255" t="str">
            <v>ADIDAS</v>
          </cell>
          <cell r="H255" t="str">
            <v>IH7756</v>
          </cell>
          <cell r="I255" t="str">
            <v>WALES BONNER X SAMBA NYLON 'WONDER CLAY ROYAL BLUE'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55">
            <v>38.5</v>
          </cell>
          <cell r="L255">
            <v>36000</v>
          </cell>
          <cell r="M255" t="str">
            <v>Синий</v>
          </cell>
        </row>
        <row r="256">
          <cell r="A256">
            <v>3112196</v>
          </cell>
          <cell r="F256" t="str">
            <v>ADIDAS</v>
          </cell>
          <cell r="H256" t="str">
            <v>IH7756</v>
          </cell>
          <cell r="I256" t="str">
            <v>WALES BONNER X SAMBA NYLON 'WONDER CLAY ROYAL BLUE'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56">
            <v>40</v>
          </cell>
          <cell r="L256">
            <v>36000</v>
          </cell>
          <cell r="M256" t="str">
            <v>Синий</v>
          </cell>
        </row>
        <row r="257">
          <cell r="A257">
            <v>3112197</v>
          </cell>
          <cell r="F257" t="str">
            <v>ADIDAS</v>
          </cell>
          <cell r="H257" t="str">
            <v>IH3261</v>
          </cell>
          <cell r="I257" t="str">
            <v>WALES BONNER X SAMBA NYLON 'DESERT WHITE'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57">
            <v>38</v>
          </cell>
          <cell r="L257">
            <v>36000</v>
          </cell>
          <cell r="M257" t="str">
            <v>Коричневый</v>
          </cell>
        </row>
        <row r="258">
          <cell r="A258">
            <v>3112200</v>
          </cell>
          <cell r="F258" t="str">
            <v>ADIDAS</v>
          </cell>
          <cell r="H258" t="str">
            <v>IH3261</v>
          </cell>
          <cell r="I258" t="str">
            <v>WALES BONNER X SAMBA NYLON 'DESERT WHITE'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58">
            <v>39</v>
          </cell>
          <cell r="L258">
            <v>36000</v>
          </cell>
          <cell r="M258" t="str">
            <v>Коричневый</v>
          </cell>
        </row>
        <row r="259">
          <cell r="A259">
            <v>3112201</v>
          </cell>
          <cell r="F259" t="str">
            <v>ADIDAS</v>
          </cell>
          <cell r="H259" t="str">
            <v>IH3261</v>
          </cell>
          <cell r="I259" t="str">
            <v>WALES BONNER X SAMBA NYLON 'DESERT WHITE'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59">
            <v>40</v>
          </cell>
          <cell r="L259">
            <v>36000</v>
          </cell>
          <cell r="M259" t="str">
            <v>Коричневый</v>
          </cell>
        </row>
        <row r="260">
          <cell r="A260">
            <v>3113302</v>
          </cell>
          <cell r="F260" t="str">
            <v>ADIDAS</v>
          </cell>
          <cell r="H260" t="str">
            <v>JQ4747</v>
          </cell>
          <cell r="I260" t="str">
            <v>CAROLINE HU X CLOT X SAMBA 'REVERIE - PINK'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60">
            <v>36.5</v>
          </cell>
          <cell r="L260">
            <v>40000</v>
          </cell>
          <cell r="M260" t="str">
            <v>Розовый</v>
          </cell>
        </row>
        <row r="261">
          <cell r="A261">
            <v>3114140</v>
          </cell>
          <cell r="F261" t="str">
            <v>ADIDAS</v>
          </cell>
          <cell r="H261" t="str">
            <v>IF1807</v>
          </cell>
          <cell r="I261" t="str">
            <v>WMNS GAZELLE INDOOR 'GREY FOAM'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61">
            <v>39</v>
          </cell>
          <cell r="L261">
            <v>23900</v>
          </cell>
          <cell r="M261" t="str">
            <v>Серый</v>
          </cell>
        </row>
        <row r="262">
          <cell r="A262">
            <v>3115903</v>
          </cell>
          <cell r="F262" t="str">
            <v>ADIDAS</v>
          </cell>
          <cell r="H262" t="str">
            <v>IF5661</v>
          </cell>
          <cell r="I262" t="str">
            <v>adidas Samba Sporty and Rich Yellow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262">
            <v>37</v>
          </cell>
          <cell r="L262">
            <v>29000</v>
          </cell>
          <cell r="M262" t="str">
            <v>Желтый</v>
          </cell>
        </row>
        <row r="263">
          <cell r="A263">
            <v>3119840</v>
          </cell>
          <cell r="F263" t="str">
            <v>JORDAN</v>
          </cell>
          <cell r="H263" t="str">
            <v>CZ0790-001</v>
          </cell>
          <cell r="I263" t="str">
            <v>JORDAN 1 RETRO LOW OG 'BLACK CEMENT'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63">
            <v>42.5</v>
          </cell>
          <cell r="L263">
            <v>24000</v>
          </cell>
          <cell r="M263" t="str">
            <v>Черный</v>
          </cell>
        </row>
        <row r="264">
          <cell r="A264">
            <v>3119841</v>
          </cell>
          <cell r="F264" t="str">
            <v>JORDAN</v>
          </cell>
          <cell r="H264" t="str">
            <v>CZ0790-001</v>
          </cell>
          <cell r="I264" t="str">
            <v>JORDAN 1 RETRO LOW OG 'BLACK CEMENT'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64">
            <v>43</v>
          </cell>
          <cell r="L264">
            <v>24000</v>
          </cell>
          <cell r="M264" t="str">
            <v>Черный</v>
          </cell>
        </row>
        <row r="265">
          <cell r="A265">
            <v>3119842</v>
          </cell>
          <cell r="F265" t="str">
            <v>JORDAN</v>
          </cell>
          <cell r="H265" t="str">
            <v>CZ0790-001</v>
          </cell>
          <cell r="I265" t="str">
            <v>JORDAN 1 RETRO LOW OG 'BLACK CEMENT'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65">
            <v>44</v>
          </cell>
          <cell r="L265">
            <v>24000</v>
          </cell>
          <cell r="M265" t="str">
            <v>Черный</v>
          </cell>
        </row>
        <row r="266">
          <cell r="A266">
            <v>3119843</v>
          </cell>
          <cell r="F266" t="str">
            <v>JORDAN</v>
          </cell>
          <cell r="H266" t="str">
            <v>CZ0790-001</v>
          </cell>
          <cell r="I266" t="str">
            <v>JORDAN 1 RETRO LOW OG 'BLACK CEMENT'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66">
            <v>44.5</v>
          </cell>
          <cell r="L266">
            <v>24000</v>
          </cell>
          <cell r="M266" t="str">
            <v>Черный</v>
          </cell>
        </row>
        <row r="267">
          <cell r="A267">
            <v>3119858</v>
          </cell>
          <cell r="F267" t="str">
            <v>ADIDAS</v>
          </cell>
          <cell r="H267" t="str">
            <v>IH7756</v>
          </cell>
          <cell r="I267" t="str">
            <v>WALES BONNER X SAMBA NYLON 'WONDER CLAY ROYAL BLUE'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67">
            <v>40.5</v>
          </cell>
          <cell r="L267">
            <v>36000</v>
          </cell>
          <cell r="M267" t="str">
            <v>Синий</v>
          </cell>
        </row>
        <row r="268">
          <cell r="A268">
            <v>3119859</v>
          </cell>
          <cell r="F268" t="str">
            <v>ADIDAS</v>
          </cell>
          <cell r="H268" t="str">
            <v>IH3261</v>
          </cell>
          <cell r="I268" t="str">
            <v>WALES BONNER X SAMBA NYLON 'DESERT WHITE'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68">
            <v>40.5</v>
          </cell>
          <cell r="L268">
            <v>36000</v>
          </cell>
          <cell r="M268" t="str">
            <v>Коричневый</v>
          </cell>
        </row>
        <row r="269">
          <cell r="A269">
            <v>3120834</v>
          </cell>
          <cell r="F269" t="str">
            <v>ADIDAS</v>
          </cell>
          <cell r="H269" t="str">
            <v>H06122</v>
          </cell>
          <cell r="I269" t="str">
            <v>Adidas Gazelle Bold «Pink»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269">
            <v>38.5</v>
          </cell>
          <cell r="L269">
            <v>25000</v>
          </cell>
          <cell r="M269" t="str">
            <v>Розовый</v>
          </cell>
        </row>
        <row r="270">
          <cell r="A270">
            <v>3120837</v>
          </cell>
          <cell r="F270" t="str">
            <v>ADIDAS</v>
          </cell>
          <cell r="H270" t="str">
            <v>HQ8717</v>
          </cell>
          <cell r="I270" t="str">
            <v>WMNS GAZELLE INDOOR 'BLUE FUSION GUM'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70">
            <v>38</v>
          </cell>
          <cell r="L270">
            <v>25000</v>
          </cell>
          <cell r="M270" t="str">
            <v>Голубой</v>
          </cell>
        </row>
        <row r="271">
          <cell r="A271">
            <v>3120838</v>
          </cell>
          <cell r="F271" t="str">
            <v>ADIDAS</v>
          </cell>
          <cell r="H271" t="str">
            <v>HQ8717</v>
          </cell>
          <cell r="I271" t="str">
            <v>WMNS GAZELLE INDOOR 'BLUE FUSION GUM'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71">
            <v>39</v>
          </cell>
          <cell r="L271">
            <v>25000</v>
          </cell>
          <cell r="M271" t="str">
            <v>Голубой</v>
          </cell>
        </row>
        <row r="272">
          <cell r="A272">
            <v>3120847</v>
          </cell>
          <cell r="F272" t="str">
            <v>ADIDAS</v>
          </cell>
          <cell r="H272" t="str">
            <v>IE1417</v>
          </cell>
          <cell r="I272" t="str">
            <v>adidas Samba Purple Beidge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72">
            <v>38</v>
          </cell>
          <cell r="L272">
            <v>19990</v>
          </cell>
          <cell r="M272" t="str">
            <v>Белый</v>
          </cell>
        </row>
        <row r="273">
          <cell r="A273">
            <v>3120848</v>
          </cell>
          <cell r="F273" t="str">
            <v>ADIDAS</v>
          </cell>
          <cell r="H273" t="str">
            <v>IE1417</v>
          </cell>
          <cell r="I273" t="str">
            <v>adidas Samba Purple Beidge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73">
            <v>40</v>
          </cell>
          <cell r="L273">
            <v>19990</v>
          </cell>
          <cell r="M273" t="str">
            <v>Белый</v>
          </cell>
        </row>
        <row r="274">
          <cell r="A274">
            <v>3120850</v>
          </cell>
          <cell r="F274" t="str">
            <v>ADIDAS</v>
          </cell>
          <cell r="H274" t="str">
            <v>IG5929</v>
          </cell>
          <cell r="I274" t="str">
            <v>Adidas Gazelle «Collegiate Green Pink»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274">
            <v>36.5</v>
          </cell>
          <cell r="L274">
            <v>24000</v>
          </cell>
          <cell r="M274" t="str">
            <v>Зелёный</v>
          </cell>
        </row>
        <row r="275">
          <cell r="A275">
            <v>3120854</v>
          </cell>
          <cell r="F275" t="str">
            <v>ADIDAS</v>
          </cell>
          <cell r="H275" t="str">
            <v>JQ4749</v>
          </cell>
          <cell r="I275" t="str">
            <v>CAROLINE HU X CLOT X SAMBA 'REVERIE - BLACK'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75">
            <v>36.5</v>
          </cell>
          <cell r="L275">
            <v>40000</v>
          </cell>
          <cell r="M275" t="str">
            <v>Черный</v>
          </cell>
        </row>
        <row r="276">
          <cell r="A276">
            <v>3120858</v>
          </cell>
          <cell r="F276" t="str">
            <v>ADIDAS</v>
          </cell>
          <cell r="H276" t="str">
            <v>JS2778</v>
          </cell>
          <cell r="I276" t="str">
            <v>CAROLINE HU X CLOT X SAMBA 'REVERIE - BLACK LACE SHELL'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76">
            <v>38</v>
          </cell>
          <cell r="L276">
            <v>40000</v>
          </cell>
          <cell r="M276" t="str">
            <v>Черный</v>
          </cell>
        </row>
        <row r="277">
          <cell r="A277">
            <v>3120860</v>
          </cell>
          <cell r="F277" t="str">
            <v>ADIDAS</v>
          </cell>
          <cell r="H277" t="str">
            <v>JS2777</v>
          </cell>
          <cell r="I277" t="str">
            <v>CAROLINE HU X CLOT X SAMBA 'REVERIE - BLUE LACE SHELL'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77">
            <v>38</v>
          </cell>
          <cell r="L277">
            <v>40000</v>
          </cell>
          <cell r="M277" t="str">
            <v>Синий</v>
          </cell>
        </row>
        <row r="278">
          <cell r="A278">
            <v>3120861</v>
          </cell>
          <cell r="F278" t="str">
            <v>ADIDAS</v>
          </cell>
          <cell r="H278" t="str">
            <v>JS2777</v>
          </cell>
          <cell r="I278" t="str">
            <v>CAROLINE HU X CLOT X SAMBA 'REVERIE - BLUE LACE SHELL'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78">
            <v>38.5</v>
          </cell>
          <cell r="L278">
            <v>40000</v>
          </cell>
          <cell r="M278" t="str">
            <v>Синий</v>
          </cell>
        </row>
        <row r="279">
          <cell r="A279">
            <v>3120862</v>
          </cell>
          <cell r="F279" t="str">
            <v>ADIDAS</v>
          </cell>
          <cell r="H279" t="str">
            <v>JS2777</v>
          </cell>
          <cell r="I279" t="str">
            <v>CAROLINE HU X CLOT X SAMBA 'REVERIE - BLUE LACE SHELL'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79">
            <v>40</v>
          </cell>
          <cell r="L279">
            <v>40000</v>
          </cell>
          <cell r="M279" t="str">
            <v>Синий</v>
          </cell>
        </row>
        <row r="280">
          <cell r="A280">
            <v>3125994</v>
          </cell>
          <cell r="F280" t="str">
            <v>JORDAN</v>
          </cell>
          <cell r="H280" t="str">
            <v>DV1333-100</v>
          </cell>
          <cell r="I280" t="str">
            <v>Air Jordan 1 Low SE “Concord” (GS)
6 Y / 38.5 EU / 24 CM
5.5 Y / 38 EU / 23.5 CM
7 Y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280">
            <v>38</v>
          </cell>
          <cell r="L280">
            <v>22000</v>
          </cell>
          <cell r="M280" t="str">
            <v>Черный</v>
          </cell>
        </row>
        <row r="281">
          <cell r="A281">
            <v>3125995</v>
          </cell>
          <cell r="F281" t="str">
            <v>JORDAN</v>
          </cell>
          <cell r="H281" t="str">
            <v>DV1333-100</v>
          </cell>
          <cell r="I281" t="str">
            <v>Air Jordan 1 Low SE “Concord” (GS)
6 Y / 38.5 EU / 24 CM
5.5 Y / 38 EU / 23.5 CM
7 Y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281">
            <v>38.5</v>
          </cell>
          <cell r="L281">
            <v>22000</v>
          </cell>
          <cell r="M281" t="str">
            <v>Черный</v>
          </cell>
        </row>
        <row r="282">
          <cell r="A282">
            <v>3125998</v>
          </cell>
          <cell r="F282" t="str">
            <v>ADIDAS</v>
          </cell>
          <cell r="H282" t="str">
            <v>IE5836</v>
          </cell>
          <cell r="I282" t="str">
            <v>adidas Samba Black and White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82">
            <v>40.5</v>
          </cell>
          <cell r="L282">
            <v>19990</v>
          </cell>
          <cell r="M282" t="str">
            <v>Черный</v>
          </cell>
        </row>
        <row r="283">
          <cell r="A283">
            <v>3125999</v>
          </cell>
          <cell r="F283" t="str">
            <v>ADIDAS</v>
          </cell>
          <cell r="H283" t="str">
            <v>JQ4747</v>
          </cell>
          <cell r="I283" t="str">
            <v>CAROLINE HU X CLOT X SAMBA 'REVERIE - PINK'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83">
            <v>40</v>
          </cell>
          <cell r="L283">
            <v>40000</v>
          </cell>
          <cell r="M283" t="str">
            <v>Розовый</v>
          </cell>
        </row>
        <row r="284">
          <cell r="A284">
            <v>3126000</v>
          </cell>
          <cell r="F284" t="str">
            <v>ADIDAS</v>
          </cell>
          <cell r="H284" t="str">
            <v>JQ4748</v>
          </cell>
          <cell r="I284" t="str">
            <v>CAROLINE HU X CLOT X SAMBA 'REVERIE - OFF WHITE'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84">
            <v>37</v>
          </cell>
          <cell r="L284">
            <v>40000</v>
          </cell>
          <cell r="M284" t="str">
            <v>Белый</v>
          </cell>
        </row>
        <row r="285">
          <cell r="A285">
            <v>3126002</v>
          </cell>
          <cell r="F285" t="str">
            <v>ADIDAS</v>
          </cell>
          <cell r="H285" t="str">
            <v>JS2778</v>
          </cell>
          <cell r="I285" t="str">
            <v>CAROLINE HU X CLOT X SAMBA 'REVERIE - BLACK LACE SHELL'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85">
            <v>37</v>
          </cell>
          <cell r="L285">
            <v>40000</v>
          </cell>
          <cell r="M285" t="str">
            <v>Черный</v>
          </cell>
        </row>
        <row r="286">
          <cell r="A286">
            <v>3126736</v>
          </cell>
          <cell r="F286" t="str">
            <v>NIKE</v>
          </cell>
          <cell r="H286" t="str">
            <v>FQ7069-100</v>
          </cell>
          <cell r="I286" t="str">
            <v>Cactus Plant Flea Market x Nike Air Force 1 Low
Размер: 10 US / 44 EU / 28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286">
            <v>44</v>
          </cell>
          <cell r="L286">
            <v>76923</v>
          </cell>
          <cell r="M286" t="str">
            <v>Белый</v>
          </cell>
        </row>
        <row r="287">
          <cell r="A287">
            <v>3128305</v>
          </cell>
          <cell r="F287" t="str">
            <v>ADIDAS</v>
          </cell>
          <cell r="H287" t="str">
            <v>IF4397</v>
          </cell>
          <cell r="I287" t="str">
            <v>ADIDAS WMNS SAMBA OG 'BLACK EMBROIDERED FLORAL'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87">
            <v>39</v>
          </cell>
          <cell r="L287">
            <v>24900</v>
          </cell>
          <cell r="M287" t="str">
            <v>Черный</v>
          </cell>
        </row>
        <row r="288">
          <cell r="A288">
            <v>3128306</v>
          </cell>
          <cell r="F288" t="str">
            <v>ADIDAS</v>
          </cell>
          <cell r="H288" t="str">
            <v>IF4397</v>
          </cell>
          <cell r="I288" t="str">
            <v>ADIDAS WMNS SAMBA OG 'BLACK EMBROIDERED FLORAL'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88">
            <v>40</v>
          </cell>
          <cell r="L288">
            <v>24900</v>
          </cell>
          <cell r="M288" t="str">
            <v>Черный</v>
          </cell>
        </row>
        <row r="289">
          <cell r="A289">
            <v>3128307</v>
          </cell>
          <cell r="F289" t="str">
            <v>ADIDAS</v>
          </cell>
          <cell r="H289" t="str">
            <v>IF4398</v>
          </cell>
          <cell r="I289" t="str">
            <v>ADIDAS WMNS SAMBA OG 'WHITE EMBROIDERED FLORAL'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89">
            <v>38</v>
          </cell>
          <cell r="L289">
            <v>24900</v>
          </cell>
          <cell r="M289" t="str">
            <v>Белый</v>
          </cell>
        </row>
        <row r="290">
          <cell r="A290">
            <v>3128308</v>
          </cell>
          <cell r="F290" t="str">
            <v>ADIDAS</v>
          </cell>
          <cell r="H290" t="str">
            <v>IF4398</v>
          </cell>
          <cell r="I290" t="str">
            <v>ADIDAS WMNS SAMBA OG 'WHITE EMBROIDERED FLORAL'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90">
            <v>38.5</v>
          </cell>
          <cell r="L290">
            <v>24900</v>
          </cell>
          <cell r="M290" t="str">
            <v>Белый</v>
          </cell>
        </row>
        <row r="291">
          <cell r="A291">
            <v>3128310</v>
          </cell>
          <cell r="F291" t="str">
            <v>ADIDAS</v>
          </cell>
          <cell r="H291" t="str">
            <v>IF4398</v>
          </cell>
          <cell r="I291" t="str">
            <v>ADIDAS WMNS SAMBA OG 'WHITE EMBROIDERED FLORAL'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91">
            <v>40</v>
          </cell>
          <cell r="L291">
            <v>24900</v>
          </cell>
          <cell r="M291" t="str">
            <v>Белый</v>
          </cell>
        </row>
        <row r="292">
          <cell r="A292">
            <v>3128312</v>
          </cell>
          <cell r="F292" t="str">
            <v>NIKE</v>
          </cell>
          <cell r="H292" t="str">
            <v>FN5880-001</v>
          </cell>
          <cell r="I292" t="str">
            <v>NIKE DUNK LOW PREMIUM SB 'CITY OF STYLE PACK'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92">
            <v>39</v>
          </cell>
          <cell r="L292">
            <v>22000</v>
          </cell>
          <cell r="M292" t="str">
            <v>Фиолетовый</v>
          </cell>
        </row>
        <row r="293">
          <cell r="A293">
            <v>3133302</v>
          </cell>
          <cell r="F293" t="str">
            <v>NEW BALANCE</v>
          </cell>
          <cell r="H293" t="str">
            <v>U9060GRY</v>
          </cell>
          <cell r="I293" t="str">
            <v>NEW BALANCE 9060 'RAIN CLOUD'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93">
            <v>37.5</v>
          </cell>
          <cell r="L293">
            <v>22000</v>
          </cell>
          <cell r="M293" t="str">
            <v>Серый</v>
          </cell>
        </row>
        <row r="294">
          <cell r="A294">
            <v>3134530</v>
          </cell>
          <cell r="F294" t="str">
            <v>ADIDAS</v>
          </cell>
          <cell r="H294" t="str">
            <v>IH5484</v>
          </cell>
          <cell r="I294" t="str">
            <v>ADIDAS WMNS GAZELLE INDOOR 'SANDY PINK GUM'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94">
            <v>37</v>
          </cell>
          <cell r="L294">
            <v>19900</v>
          </cell>
          <cell r="M294" t="str">
            <v>Розовый</v>
          </cell>
        </row>
        <row r="295">
          <cell r="A295">
            <v>3134531</v>
          </cell>
          <cell r="F295" t="str">
            <v>ADIDAS</v>
          </cell>
          <cell r="H295" t="str">
            <v>IH5484</v>
          </cell>
          <cell r="I295" t="str">
            <v>ADIDAS WMNS GAZELLE INDOOR 'SANDY PINK GUM'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95">
            <v>38</v>
          </cell>
          <cell r="L295">
            <v>19900</v>
          </cell>
          <cell r="M295" t="str">
            <v>Розовый</v>
          </cell>
        </row>
        <row r="296">
          <cell r="A296">
            <v>3134532</v>
          </cell>
          <cell r="F296" t="str">
            <v>ADIDAS</v>
          </cell>
          <cell r="H296" t="str">
            <v>IH5484</v>
          </cell>
          <cell r="I296" t="str">
            <v>ADIDAS WMNS GAZELLE INDOOR 'SANDY PINK GUM'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96">
            <v>38.5</v>
          </cell>
          <cell r="L296">
            <v>19900</v>
          </cell>
          <cell r="M296" t="str">
            <v>Розовый</v>
          </cell>
        </row>
        <row r="297">
          <cell r="A297">
            <v>3134534</v>
          </cell>
          <cell r="F297" t="str">
            <v>ADIDAS</v>
          </cell>
          <cell r="H297" t="str">
            <v>IH5484</v>
          </cell>
          <cell r="I297" t="str">
            <v>ADIDAS WMNS GAZELLE INDOOR 'SANDY PINK GUM'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97">
            <v>40</v>
          </cell>
          <cell r="L297">
            <v>19900</v>
          </cell>
          <cell r="M297" t="str">
            <v>Розовый</v>
          </cell>
        </row>
        <row r="298">
          <cell r="A298">
            <v>3134539</v>
          </cell>
          <cell r="F298" t="str">
            <v>JORDAN</v>
          </cell>
          <cell r="H298" t="str">
            <v>CZ0790-110</v>
          </cell>
          <cell r="I298" t="str">
            <v>JORDAN 1 RETRO LOW OG 'BARONS'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98">
            <v>45</v>
          </cell>
          <cell r="L298">
            <v>22000</v>
          </cell>
          <cell r="M298" t="str">
            <v>Серый</v>
          </cell>
        </row>
        <row r="299">
          <cell r="A299">
            <v>3136373</v>
          </cell>
          <cell r="F299" t="str">
            <v>ADIDAS</v>
          </cell>
          <cell r="H299" t="str">
            <v>JS2777</v>
          </cell>
          <cell r="I299" t="str">
            <v>CAROLINE HU X CLOT X SAMBA 'REVERIE - BLUE LACE SHELL'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299">
            <v>40</v>
          </cell>
          <cell r="L299">
            <v>40000</v>
          </cell>
          <cell r="M299" t="str">
            <v>Синий</v>
          </cell>
        </row>
        <row r="300">
          <cell r="A300">
            <v>3137662</v>
          </cell>
          <cell r="F300" t="str">
            <v>ADIDAS</v>
          </cell>
          <cell r="H300" t="str">
            <v>IF4491</v>
          </cell>
          <cell r="I300" t="str">
            <v>ADIDAS GAZELLE INDOOR LIGHT BLUE FLORAL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00">
            <v>37</v>
          </cell>
          <cell r="L300">
            <v>20000</v>
          </cell>
          <cell r="M300" t="str">
            <v>Голубой</v>
          </cell>
        </row>
        <row r="301">
          <cell r="A301">
            <v>3137663</v>
          </cell>
          <cell r="F301" t="str">
            <v>ADIDAS</v>
          </cell>
          <cell r="H301" t="str">
            <v>IF4491</v>
          </cell>
          <cell r="I301" t="str">
            <v>ADIDAS GAZELLE INDOOR LIGHT BLUE FLORAL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01">
            <v>38</v>
          </cell>
          <cell r="L301">
            <v>20000</v>
          </cell>
          <cell r="M301" t="str">
            <v>Голубой</v>
          </cell>
        </row>
        <row r="302">
          <cell r="A302">
            <v>3137664</v>
          </cell>
          <cell r="F302" t="str">
            <v>ADIDAS</v>
          </cell>
          <cell r="H302" t="str">
            <v>IF4491</v>
          </cell>
          <cell r="I302" t="str">
            <v>ADIDAS GAZELLE INDOOR LIGHT BLUE FLORAL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02">
            <v>38.5</v>
          </cell>
          <cell r="L302">
            <v>20000</v>
          </cell>
          <cell r="M302" t="str">
            <v>Голубой</v>
          </cell>
        </row>
        <row r="303">
          <cell r="A303">
            <v>3137684</v>
          </cell>
          <cell r="F303" t="str">
            <v>ADIDAS</v>
          </cell>
          <cell r="H303" t="str">
            <v>IE5836</v>
          </cell>
          <cell r="I303" t="str">
            <v>adidas Samba Black and White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03">
            <v>39</v>
          </cell>
          <cell r="L303">
            <v>19990</v>
          </cell>
          <cell r="M303" t="str">
            <v>Черный</v>
          </cell>
        </row>
        <row r="304">
          <cell r="A304">
            <v>3137686</v>
          </cell>
          <cell r="F304" t="str">
            <v>ADIDAS</v>
          </cell>
          <cell r="H304" t="str">
            <v>JQ4749</v>
          </cell>
          <cell r="I304" t="str">
            <v>CAROLINE HU X CLOT X SAMBA 'REVERIE - BLACK'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04">
            <v>40.5</v>
          </cell>
          <cell r="L304">
            <v>40000</v>
          </cell>
          <cell r="M304" t="str">
            <v>Черный</v>
          </cell>
        </row>
        <row r="305">
          <cell r="A305">
            <v>3138717</v>
          </cell>
          <cell r="F305" t="str">
            <v>ADIDAS</v>
          </cell>
          <cell r="H305" t="str">
            <v>IH8338</v>
          </cell>
          <cell r="I305" t="str">
            <v>SPORTY &amp; RICH X SAMBA OG 'USA'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05">
            <v>36.5</v>
          </cell>
          <cell r="L305">
            <v>27000</v>
          </cell>
          <cell r="M305" t="str">
            <v>Белый</v>
          </cell>
        </row>
        <row r="306">
          <cell r="A306">
            <v>3138718</v>
          </cell>
          <cell r="F306" t="str">
            <v>ADIDAS</v>
          </cell>
          <cell r="H306" t="str">
            <v>IH8338</v>
          </cell>
          <cell r="I306" t="str">
            <v>SPORTY &amp; RICH X SAMBA OG 'USA'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06">
            <v>37</v>
          </cell>
          <cell r="L306">
            <v>27000</v>
          </cell>
          <cell r="M306" t="str">
            <v>Белый</v>
          </cell>
        </row>
        <row r="307">
          <cell r="A307">
            <v>3138720</v>
          </cell>
          <cell r="F307" t="str">
            <v>ADIDAS</v>
          </cell>
          <cell r="H307" t="str">
            <v>IH8338</v>
          </cell>
          <cell r="I307" t="str">
            <v>SPORTY &amp; RICH X SAMBA OG 'USA'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07">
            <v>38</v>
          </cell>
          <cell r="L307">
            <v>27000</v>
          </cell>
          <cell r="M307" t="str">
            <v>Белый</v>
          </cell>
        </row>
        <row r="308">
          <cell r="A308">
            <v>3138721</v>
          </cell>
          <cell r="F308" t="str">
            <v>ADIDAS</v>
          </cell>
          <cell r="H308" t="str">
            <v>IH8338</v>
          </cell>
          <cell r="I308" t="str">
            <v>SPORTY &amp; RICH X SAMBA OG 'USA'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08">
            <v>38.5</v>
          </cell>
          <cell r="L308">
            <v>27000</v>
          </cell>
          <cell r="M308" t="str">
            <v>Белый</v>
          </cell>
        </row>
        <row r="309">
          <cell r="A309">
            <v>3138722</v>
          </cell>
          <cell r="F309" t="str">
            <v>ADIDAS</v>
          </cell>
          <cell r="H309" t="str">
            <v>IH8338</v>
          </cell>
          <cell r="I309" t="str">
            <v>SPORTY &amp; RICH X SAMBA OG 'USA'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09">
            <v>38.5</v>
          </cell>
          <cell r="L309">
            <v>27000</v>
          </cell>
          <cell r="M309" t="str">
            <v>Белый</v>
          </cell>
        </row>
        <row r="310">
          <cell r="A310">
            <v>3138727</v>
          </cell>
          <cell r="F310" t="str">
            <v>ADIDAS</v>
          </cell>
          <cell r="H310" t="str">
            <v>IH8338</v>
          </cell>
          <cell r="I310" t="str">
            <v>SPORTY &amp; RICH X SAMBA OG 'USA'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10">
            <v>40</v>
          </cell>
          <cell r="L310">
            <v>27000</v>
          </cell>
          <cell r="M310" t="str">
            <v>Белый</v>
          </cell>
        </row>
        <row r="311">
          <cell r="A311">
            <v>3138728</v>
          </cell>
          <cell r="F311" t="str">
            <v>ADIDAS</v>
          </cell>
          <cell r="H311" t="str">
            <v>IH8338</v>
          </cell>
          <cell r="I311" t="str">
            <v>SPORTY &amp; RICH X SAMBA OG 'USA'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11">
            <v>40</v>
          </cell>
          <cell r="L311">
            <v>27000</v>
          </cell>
          <cell r="M311" t="str">
            <v>Белый</v>
          </cell>
        </row>
        <row r="312">
          <cell r="A312">
            <v>3138731</v>
          </cell>
          <cell r="F312" t="str">
            <v>ADIDAS</v>
          </cell>
          <cell r="H312" t="str">
            <v>IF1809</v>
          </cell>
          <cell r="I312" t="str">
            <v>ADIDAS GAZELLE INDOOR 'ALMOST PINK GUM'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12">
            <v>36.5</v>
          </cell>
          <cell r="L312">
            <v>17900</v>
          </cell>
          <cell r="M312" t="str">
            <v>Розовый</v>
          </cell>
        </row>
        <row r="313">
          <cell r="A313">
            <v>3138732</v>
          </cell>
          <cell r="F313" t="str">
            <v>ADIDAS</v>
          </cell>
          <cell r="H313" t="str">
            <v>IF1809</v>
          </cell>
          <cell r="I313" t="str">
            <v>ADIDAS GAZELLE INDOOR 'ALMOST PINK GUM'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13">
            <v>37</v>
          </cell>
          <cell r="L313">
            <v>17900</v>
          </cell>
          <cell r="M313" t="str">
            <v>Розовый</v>
          </cell>
        </row>
        <row r="314">
          <cell r="A314">
            <v>3138733</v>
          </cell>
          <cell r="F314" t="str">
            <v>ADIDAS</v>
          </cell>
          <cell r="H314" t="str">
            <v>IF1809</v>
          </cell>
          <cell r="I314" t="str">
            <v>ADIDAS GAZELLE INDOOR 'ALMOST PINK GUM'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14">
            <v>38</v>
          </cell>
          <cell r="L314">
            <v>17900</v>
          </cell>
          <cell r="M314" t="str">
            <v>Розовый</v>
          </cell>
        </row>
        <row r="315">
          <cell r="A315">
            <v>3138734</v>
          </cell>
          <cell r="F315" t="str">
            <v>ADIDAS</v>
          </cell>
          <cell r="H315" t="str">
            <v>IF1809</v>
          </cell>
          <cell r="I315" t="str">
            <v>ADIDAS GAZELLE INDOOR 'ALMOST PINK GUM'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15">
            <v>38.5</v>
          </cell>
          <cell r="L315">
            <v>17900</v>
          </cell>
          <cell r="M315" t="str">
            <v>Розовый</v>
          </cell>
        </row>
        <row r="316">
          <cell r="A316">
            <v>3138735</v>
          </cell>
          <cell r="F316" t="str">
            <v>ADIDAS</v>
          </cell>
          <cell r="H316" t="str">
            <v>IF1809</v>
          </cell>
          <cell r="I316" t="str">
            <v>ADIDAS GAZELLE INDOOR 'ALMOST PINK GUM'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16">
            <v>39</v>
          </cell>
          <cell r="L316">
            <v>17900</v>
          </cell>
          <cell r="M316" t="str">
            <v>Розовый</v>
          </cell>
        </row>
        <row r="317">
          <cell r="A317">
            <v>3138736</v>
          </cell>
          <cell r="F317" t="str">
            <v>ADIDAS</v>
          </cell>
          <cell r="H317" t="str">
            <v>JP5671</v>
          </cell>
          <cell r="I317" t="str">
            <v>Adidas gazelle indoor 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17">
            <v>37</v>
          </cell>
          <cell r="L317">
            <v>22000</v>
          </cell>
          <cell r="M317" t="str">
            <v>Коричневый</v>
          </cell>
        </row>
        <row r="318">
          <cell r="A318">
            <v>3138737</v>
          </cell>
          <cell r="F318" t="str">
            <v>ADIDAS</v>
          </cell>
          <cell r="H318" t="str">
            <v>JP5671</v>
          </cell>
          <cell r="I318" t="str">
            <v>Adidas gazelle indoor 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18">
            <v>38</v>
          </cell>
          <cell r="L318">
            <v>22000</v>
          </cell>
          <cell r="M318" t="str">
            <v>Коричневый</v>
          </cell>
        </row>
        <row r="319">
          <cell r="A319">
            <v>3138739</v>
          </cell>
          <cell r="F319" t="str">
            <v>ADIDAS</v>
          </cell>
          <cell r="H319" t="str">
            <v>JP5671</v>
          </cell>
          <cell r="I319" t="str">
            <v>Adidas gazelle indoor 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19">
            <v>38.5</v>
          </cell>
          <cell r="L319">
            <v>22000</v>
          </cell>
          <cell r="M319" t="str">
            <v>Коричневый</v>
          </cell>
        </row>
        <row r="320">
          <cell r="A320">
            <v>3142098</v>
          </cell>
          <cell r="F320" t="str">
            <v>ADIDAS</v>
          </cell>
          <cell r="H320" t="str">
            <v>JS2778</v>
          </cell>
          <cell r="I320" t="str">
            <v>CAROLINE HU X CLOT X SAMBA 'REVERIE - BLACK LACE SHELL'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20">
            <v>40</v>
          </cell>
          <cell r="L320">
            <v>40000</v>
          </cell>
          <cell r="M320" t="str">
            <v>Черный</v>
          </cell>
        </row>
        <row r="321">
          <cell r="A321">
            <v>3142176</v>
          </cell>
          <cell r="F321" t="str">
            <v>NEW BALANCE</v>
          </cell>
          <cell r="H321" t="str">
            <v>U9060SG</v>
          </cell>
          <cell r="I321" t="str">
            <v>NEW BALANCE 9060 'MAGNET'
5.5 US / 38 EU / 23.5 CM
6 US / 38.5 EU / 24 CM
6.5 US / 39.5 EU / 24.5 CM
7 US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321">
            <v>39.5</v>
          </cell>
          <cell r="L321">
            <v>24000</v>
          </cell>
          <cell r="M321" t="str">
            <v>Серый</v>
          </cell>
        </row>
        <row r="322">
          <cell r="A322">
            <v>3145535</v>
          </cell>
          <cell r="F322" t="str">
            <v>NEW BALANCE</v>
          </cell>
          <cell r="H322" t="str">
            <v>M1906RCA</v>
          </cell>
          <cell r="I322" t="str">
            <v>NEW BALANCE 1906R 'ECLIPSE'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22">
            <v>43</v>
          </cell>
          <cell r="L322">
            <v>20000</v>
          </cell>
          <cell r="M322" t="str">
            <v>Черный</v>
          </cell>
        </row>
        <row r="323">
          <cell r="A323">
            <v>3145536</v>
          </cell>
          <cell r="F323" t="str">
            <v>NEW BALANCE</v>
          </cell>
          <cell r="H323" t="str">
            <v>M1906RCA</v>
          </cell>
          <cell r="I323" t="str">
            <v>NEW BALANCE 1906R 'ECLIPSE'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23">
            <v>45</v>
          </cell>
          <cell r="L323">
            <v>20000</v>
          </cell>
          <cell r="M323" t="str">
            <v>Черный</v>
          </cell>
        </row>
        <row r="324">
          <cell r="A324">
            <v>3145537</v>
          </cell>
          <cell r="F324" t="str">
            <v>NEW BALANCE</v>
          </cell>
          <cell r="H324" t="str">
            <v>M2002RDK</v>
          </cell>
          <cell r="I324" t="str">
            <v>NEW BALANCE 2002R 'PROTECTION PACK - NAVY'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24">
            <v>42</v>
          </cell>
          <cell r="L324">
            <v>24000</v>
          </cell>
          <cell r="M324" t="str">
            <v>Синий</v>
          </cell>
        </row>
        <row r="325">
          <cell r="A325">
            <v>3145539</v>
          </cell>
          <cell r="F325" t="str">
            <v>NEW BALANCE</v>
          </cell>
          <cell r="H325" t="str">
            <v>M2002RDK</v>
          </cell>
          <cell r="I325" t="str">
            <v>NEW BALANCE 2002R 'PROTECTION PACK - NAVY'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25">
            <v>44</v>
          </cell>
          <cell r="L325">
            <v>24000</v>
          </cell>
          <cell r="M325" t="str">
            <v>Синий</v>
          </cell>
        </row>
        <row r="326">
          <cell r="A326">
            <v>3145540</v>
          </cell>
          <cell r="F326" t="str">
            <v>NEW BALANCE</v>
          </cell>
          <cell r="H326" t="str">
            <v>M1906RW</v>
          </cell>
          <cell r="I326" t="str">
            <v>NEW BALANCE 1906R 'MINDFUL GREY'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26">
            <v>42.5</v>
          </cell>
          <cell r="L326">
            <v>20000</v>
          </cell>
          <cell r="M326" t="str">
            <v>Белый</v>
          </cell>
        </row>
        <row r="327">
          <cell r="A327">
            <v>3145541</v>
          </cell>
          <cell r="F327" t="str">
            <v>NEW BALANCE</v>
          </cell>
          <cell r="H327" t="str">
            <v>M1906RW</v>
          </cell>
          <cell r="I327" t="str">
            <v>NEW BALANCE 1906R 'MINDFUL GREY'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27">
            <v>44</v>
          </cell>
          <cell r="L327">
            <v>20000</v>
          </cell>
          <cell r="M327" t="str">
            <v>Белый</v>
          </cell>
        </row>
        <row r="328">
          <cell r="A328">
            <v>3145542</v>
          </cell>
          <cell r="F328" t="str">
            <v>NEW BALANCE</v>
          </cell>
          <cell r="H328" t="str">
            <v>M1906RW</v>
          </cell>
          <cell r="I328" t="str">
            <v>NEW BALANCE 1906R 'MINDFUL GREY'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28">
            <v>45</v>
          </cell>
          <cell r="L328">
            <v>20000</v>
          </cell>
          <cell r="M328" t="str">
            <v>Белый</v>
          </cell>
        </row>
        <row r="329">
          <cell r="A329">
            <v>3151714</v>
          </cell>
          <cell r="F329" t="str">
            <v>JORDAN</v>
          </cell>
          <cell r="H329" t="str">
            <v>553560-052</v>
          </cell>
          <cell r="I329" t="str">
            <v>Air Jordan 1 Low Shadow Toe</v>
          </cell>
          <cell r="J329">
            <v>38</v>
          </cell>
          <cell r="L329">
            <v>15900</v>
          </cell>
          <cell r="M329" t="str">
            <v>Серый</v>
          </cell>
        </row>
        <row r="330">
          <cell r="A330">
            <v>3151751</v>
          </cell>
          <cell r="F330" t="str">
            <v>ADIDAS</v>
          </cell>
          <cell r="H330" t="str">
            <v>IF4491</v>
          </cell>
          <cell r="I330" t="str">
            <v>ADIDAS GAZELLE INDOOR LIGHT BLUE FLORAL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30">
            <v>40.5</v>
          </cell>
          <cell r="L330">
            <v>20000</v>
          </cell>
          <cell r="M330" t="str">
            <v>Голубой</v>
          </cell>
        </row>
        <row r="331">
          <cell r="A331">
            <v>3151752</v>
          </cell>
          <cell r="F331" t="str">
            <v>ASICS</v>
          </cell>
          <cell r="H331" t="str">
            <v>THL7C2-9399</v>
          </cell>
          <cell r="I331" t="str">
            <v>MEXICO 66 'CHROME SILVER'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31">
            <v>39</v>
          </cell>
          <cell r="L331">
            <v>25000</v>
          </cell>
          <cell r="M331" t="str">
            <v>Серый</v>
          </cell>
        </row>
        <row r="332">
          <cell r="A332">
            <v>3171706</v>
          </cell>
          <cell r="F332" t="str">
            <v>ADIDAS</v>
          </cell>
          <cell r="H332" t="str">
            <v>IH2612</v>
          </cell>
          <cell r="I332" t="str">
            <v>SPORTY &amp; RICH X HANDBALL SPEZIAL 'AUBURN GUM'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32">
            <v>36</v>
          </cell>
          <cell r="L332">
            <v>30000</v>
          </cell>
          <cell r="M332" t="str">
            <v>Коричневый</v>
          </cell>
        </row>
        <row r="333">
          <cell r="A333">
            <v>3171712</v>
          </cell>
          <cell r="F333" t="str">
            <v>ADIDAS</v>
          </cell>
          <cell r="H333" t="str">
            <v>IF5660</v>
          </cell>
          <cell r="I333" t="str">
            <v>adidas Samba Sporty and Rich Burgundy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333">
            <v>37</v>
          </cell>
          <cell r="L333">
            <v>29000</v>
          </cell>
          <cell r="M333" t="str">
            <v>Красный</v>
          </cell>
        </row>
        <row r="334">
          <cell r="A334">
            <v>3171713</v>
          </cell>
          <cell r="F334" t="str">
            <v>ADIDAS</v>
          </cell>
          <cell r="H334" t="str">
            <v>IF5660</v>
          </cell>
          <cell r="I334" t="str">
            <v>adidas Samba Sporty and Rich Burgundy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334">
            <v>39</v>
          </cell>
          <cell r="L334">
            <v>29000</v>
          </cell>
          <cell r="M334" t="str">
            <v>Красный</v>
          </cell>
        </row>
        <row r="335">
          <cell r="A335">
            <v>3171715</v>
          </cell>
          <cell r="F335" t="str">
            <v>ADIDAS</v>
          </cell>
          <cell r="H335" t="str">
            <v>IF5660</v>
          </cell>
          <cell r="I335" t="str">
            <v>adidas Samba Sporty and Rich Burgundy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335">
            <v>40.5</v>
          </cell>
          <cell r="L335">
            <v>29000</v>
          </cell>
          <cell r="M335" t="str">
            <v>Красный</v>
          </cell>
        </row>
        <row r="336">
          <cell r="A336">
            <v>3171716</v>
          </cell>
          <cell r="F336" t="str">
            <v>ADIDAS</v>
          </cell>
          <cell r="H336" t="str">
            <v>IE7002</v>
          </cell>
          <cell r="I336" t="str">
            <v>Adidas Gazelle «Bliss Pink Purple»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336">
            <v>40</v>
          </cell>
          <cell r="L336">
            <v>24000</v>
          </cell>
          <cell r="M336" t="str">
            <v>Розовый</v>
          </cell>
        </row>
        <row r="337">
          <cell r="A337">
            <v>3171717</v>
          </cell>
          <cell r="F337" t="str">
            <v>ADIDAS</v>
          </cell>
          <cell r="H337" t="str">
            <v>IE7002</v>
          </cell>
          <cell r="I337" t="str">
            <v>Adidas Gazelle «Bliss Pink Purple»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337">
            <v>40.5</v>
          </cell>
          <cell r="L337">
            <v>24000</v>
          </cell>
          <cell r="M337" t="str">
            <v>Розовый</v>
          </cell>
        </row>
        <row r="338">
          <cell r="A338">
            <v>3171727</v>
          </cell>
          <cell r="F338" t="str">
            <v>ADIDAS</v>
          </cell>
          <cell r="H338" t="str">
            <v>IF6561</v>
          </cell>
          <cell r="I338" t="str">
            <v>WMNS HANDBALL SPEZIAL 'CLEAR PINK ARCTIC NIGHT'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38">
            <v>37</v>
          </cell>
          <cell r="L338">
            <v>20000</v>
          </cell>
          <cell r="M338" t="str">
            <v>Розовый</v>
          </cell>
        </row>
        <row r="339">
          <cell r="A339">
            <v>3187484</v>
          </cell>
          <cell r="F339" t="str">
            <v>NIKE</v>
          </cell>
          <cell r="H339" t="str">
            <v>FV6516 001</v>
          </cell>
          <cell r="I339" t="str">
            <v>WMNS DUNK LOW 'SAFARI PRINT PACK - PHANTOM'</v>
          </cell>
          <cell r="J339">
            <v>38.5</v>
          </cell>
          <cell r="L339">
            <v>10000</v>
          </cell>
          <cell r="M339" t="str">
            <v>Серый</v>
          </cell>
        </row>
        <row r="340">
          <cell r="A340">
            <v>3189898</v>
          </cell>
          <cell r="F340" t="str">
            <v>ADIDAS</v>
          </cell>
          <cell r="H340" t="str">
            <v>IH5483</v>
          </cell>
          <cell r="I340" t="str">
            <v>adidas Gazelle Indoor Shadow Fig 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40">
            <v>39</v>
          </cell>
          <cell r="L340">
            <v>21000</v>
          </cell>
          <cell r="M340" t="str">
            <v>Фиолетовый</v>
          </cell>
        </row>
        <row r="341">
          <cell r="A341">
            <v>3205682</v>
          </cell>
          <cell r="F341" t="str">
            <v>JORDAN</v>
          </cell>
          <cell r="H341" t="str">
            <v>CZ0790-102</v>
          </cell>
          <cell r="I341" t="str">
            <v>JORDAN 1 RETRO LOW OG 'MOCHA'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41">
            <v>45</v>
          </cell>
          <cell r="L341">
            <v>28000</v>
          </cell>
          <cell r="M341" t="str">
            <v>Черный</v>
          </cell>
        </row>
        <row r="342">
          <cell r="A342">
            <v>3205688</v>
          </cell>
          <cell r="F342" t="str">
            <v>ADIDAS</v>
          </cell>
          <cell r="H342" t="str">
            <v>IF4397</v>
          </cell>
          <cell r="I342" t="str">
            <v>ADIDAS WMNS SAMBA OG 'BLACK EMBROIDERED FLORAL'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42">
            <v>36.5</v>
          </cell>
          <cell r="L342">
            <v>24900</v>
          </cell>
          <cell r="M342" t="str">
            <v>Черный</v>
          </cell>
        </row>
        <row r="343">
          <cell r="A343">
            <v>3205689</v>
          </cell>
          <cell r="F343" t="str">
            <v>ADIDAS</v>
          </cell>
          <cell r="H343" t="str">
            <v>IF4397</v>
          </cell>
          <cell r="I343" t="str">
            <v>ADIDAS WMNS SAMBA OG 'BLACK EMBROIDERED FLORAL'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43">
            <v>37</v>
          </cell>
          <cell r="L343">
            <v>24900</v>
          </cell>
          <cell r="M343" t="str">
            <v>Черный</v>
          </cell>
        </row>
        <row r="344">
          <cell r="A344">
            <v>3205690</v>
          </cell>
          <cell r="F344" t="str">
            <v>ADIDAS</v>
          </cell>
          <cell r="H344" t="str">
            <v>IF4397</v>
          </cell>
          <cell r="I344" t="str">
            <v>ADIDAS WMNS SAMBA OG 'BLACK EMBROIDERED FLORAL'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44">
            <v>38</v>
          </cell>
          <cell r="L344">
            <v>24900</v>
          </cell>
          <cell r="M344" t="str">
            <v>Черный</v>
          </cell>
        </row>
        <row r="345">
          <cell r="A345">
            <v>3205691</v>
          </cell>
          <cell r="F345" t="str">
            <v>ADIDAS</v>
          </cell>
          <cell r="H345" t="str">
            <v>IF4397</v>
          </cell>
          <cell r="I345" t="str">
            <v>ADIDAS WMNS SAMBA OG 'BLACK EMBROIDERED FLORAL'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45">
            <v>38.5</v>
          </cell>
          <cell r="L345">
            <v>24900</v>
          </cell>
          <cell r="M345" t="str">
            <v>Черный</v>
          </cell>
        </row>
        <row r="346">
          <cell r="A346">
            <v>3205693</v>
          </cell>
          <cell r="F346" t="str">
            <v>ADIDAS</v>
          </cell>
          <cell r="H346" t="str">
            <v>IE7002</v>
          </cell>
          <cell r="I346" t="str">
            <v>Adidas Gazelle «Bliss Pink Purple»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346">
            <v>36.5</v>
          </cell>
          <cell r="L346">
            <v>24000</v>
          </cell>
          <cell r="M346" t="str">
            <v>Розовый</v>
          </cell>
        </row>
        <row r="347">
          <cell r="A347">
            <v>3205694</v>
          </cell>
          <cell r="F347" t="str">
            <v>ADIDAS</v>
          </cell>
          <cell r="H347" t="str">
            <v>IE7002</v>
          </cell>
          <cell r="I347" t="str">
            <v>Adidas Gazelle «Bliss Pink Purple»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347">
            <v>40</v>
          </cell>
          <cell r="L347">
            <v>24000</v>
          </cell>
          <cell r="M347" t="str">
            <v>Розовый</v>
          </cell>
        </row>
        <row r="348">
          <cell r="A348">
            <v>3205695</v>
          </cell>
          <cell r="F348" t="str">
            <v>ADIDAS</v>
          </cell>
          <cell r="H348" t="str">
            <v>IE7002</v>
          </cell>
          <cell r="I348" t="str">
            <v>Adidas Gazelle «Bliss Pink Purple»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348">
            <v>40.5</v>
          </cell>
          <cell r="L348">
            <v>24000</v>
          </cell>
          <cell r="M348" t="str">
            <v>Розовый</v>
          </cell>
        </row>
        <row r="349">
          <cell r="A349">
            <v>3205696</v>
          </cell>
          <cell r="F349" t="str">
            <v>ADIDAS</v>
          </cell>
          <cell r="H349" t="str">
            <v>IE3693</v>
          </cell>
          <cell r="I349" t="str">
            <v>adidas Gazelle Earth Strata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49">
            <v>36.5</v>
          </cell>
          <cell r="L349">
            <v>20000</v>
          </cell>
          <cell r="M349" t="str">
            <v>Коричневый</v>
          </cell>
        </row>
        <row r="350">
          <cell r="A350">
            <v>3205697</v>
          </cell>
          <cell r="F350" t="str">
            <v>ADIDAS</v>
          </cell>
          <cell r="H350" t="str">
            <v>IE3693</v>
          </cell>
          <cell r="I350" t="str">
            <v>adidas Gazelle Earth Strata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50">
            <v>37</v>
          </cell>
          <cell r="L350">
            <v>20000</v>
          </cell>
          <cell r="M350" t="str">
            <v>Коричневый</v>
          </cell>
        </row>
        <row r="351">
          <cell r="A351">
            <v>3205700</v>
          </cell>
          <cell r="F351" t="str">
            <v>NEW BALANCE</v>
          </cell>
          <cell r="H351" t="str">
            <v>U9060HSP</v>
          </cell>
          <cell r="I351" t="str">
            <v>NEW BALANCE 9060 'DECEMBER SKY'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51">
            <v>37.5</v>
          </cell>
          <cell r="L351">
            <v>24000</v>
          </cell>
          <cell r="M351" t="str">
            <v>Розовый</v>
          </cell>
        </row>
        <row r="352">
          <cell r="A352">
            <v>3205708</v>
          </cell>
          <cell r="F352" t="str">
            <v>ADIDAS</v>
          </cell>
          <cell r="H352" t="str">
            <v>IF6561</v>
          </cell>
          <cell r="I352" t="str">
            <v>ADIDAS WMNS HANDBALL SPEZIAL 'CLEAR PINK ARCTIC NIGHT'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52">
            <v>42</v>
          </cell>
          <cell r="L352">
            <v>22000</v>
          </cell>
          <cell r="M352" t="str">
            <v>Розовый</v>
          </cell>
        </row>
        <row r="353">
          <cell r="A353">
            <v>3205710</v>
          </cell>
          <cell r="F353" t="str">
            <v>NEW BALANCE</v>
          </cell>
          <cell r="H353" t="str">
            <v>U9060SG</v>
          </cell>
          <cell r="I353" t="str">
            <v>NEW BALANCE 9060 'MAGNET'
5.5 US / 38 EU / 23.5 CM
6 US / 38.5 EU / 24 CM
6.5 US / 39.5 EU / 24.5 CM
7 US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353">
            <v>37.5</v>
          </cell>
          <cell r="L353">
            <v>24000</v>
          </cell>
          <cell r="M353" t="str">
            <v>Серый</v>
          </cell>
        </row>
        <row r="354">
          <cell r="A354">
            <v>3205714</v>
          </cell>
          <cell r="F354" t="str">
            <v>NEW BALANCE</v>
          </cell>
          <cell r="H354" t="str">
            <v>U9060MUS</v>
          </cell>
          <cell r="I354" t="str">
            <v>New Balance 9060 Mushroom
5 US / 37.5 EU / 23 CM
5.5 US / 38 EU / 23.5 CM
6 US / 38.5 EU / 24 CM
6.5 US / 39.5 EU / 24.5 CM
7 US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354">
            <v>37.5</v>
          </cell>
          <cell r="L354">
            <v>22000</v>
          </cell>
          <cell r="M354" t="str">
            <v>Коричневый</v>
          </cell>
        </row>
        <row r="355">
          <cell r="A355">
            <v>3205715</v>
          </cell>
          <cell r="F355" t="str">
            <v>NEW BALANCE</v>
          </cell>
          <cell r="H355" t="str">
            <v>U9060MUS</v>
          </cell>
          <cell r="I355" t="str">
            <v>New Balance 9060 Mushroom
5 US / 37.5 EU / 23 CM
5.5 US / 38 EU / 23.5 CM
6 US / 38.5 EU / 24 CM
6.5 US / 39.5 EU / 24.5 CM
7 US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355">
            <v>38</v>
          </cell>
          <cell r="L355">
            <v>22000</v>
          </cell>
          <cell r="M355" t="str">
            <v>Коричневый</v>
          </cell>
        </row>
        <row r="356">
          <cell r="A356">
            <v>3205716</v>
          </cell>
          <cell r="F356" t="str">
            <v>NEW BALANCE</v>
          </cell>
          <cell r="H356" t="str">
            <v>U9060MUS</v>
          </cell>
          <cell r="I356" t="str">
            <v>New Balance 9060 Mushroom
5 US / 37.5 EU / 23 CM
5.5 US / 38 EU / 23.5 CM
6 US / 38.5 EU / 24 CM
6.5 US / 39.5 EU / 24.5 CM
7 US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356">
            <v>38.5</v>
          </cell>
          <cell r="L356">
            <v>22000</v>
          </cell>
          <cell r="M356" t="str">
            <v>Коричневый</v>
          </cell>
        </row>
        <row r="357">
          <cell r="A357">
            <v>3205721</v>
          </cell>
          <cell r="F357" t="str">
            <v>NEW BALANCE</v>
          </cell>
          <cell r="H357" t="str">
            <v>M1906RQ</v>
          </cell>
          <cell r="I357" t="str">
            <v>New Balance 1906R White Green Cream
5.5 US / 38 EU / 23.5 CM
6 US / 38.5 EU / 24 CM
6.5 US / 39.5 EU / 24.5 CM
7 US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357">
            <v>39.5</v>
          </cell>
          <cell r="L357">
            <v>20000</v>
          </cell>
          <cell r="M357" t="str">
            <v>Зелёный</v>
          </cell>
        </row>
        <row r="358">
          <cell r="A358">
            <v>3205722</v>
          </cell>
          <cell r="F358" t="str">
            <v>NEW BALANCE</v>
          </cell>
          <cell r="H358" t="str">
            <v>M1906RQ</v>
          </cell>
          <cell r="I358" t="str">
            <v>New Balance 1906R White Green Cream
5.5 US / 38 EU / 23.5 CM
6 US / 38.5 EU / 24 CM
6.5 US / 39.5 EU / 24.5 CM
7 US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358">
            <v>40</v>
          </cell>
          <cell r="L358">
            <v>20000</v>
          </cell>
          <cell r="M358" t="str">
            <v>Зелёный</v>
          </cell>
        </row>
        <row r="359">
          <cell r="A359">
            <v>3205725</v>
          </cell>
          <cell r="F359" t="str">
            <v>ADIDAS</v>
          </cell>
          <cell r="H359" t="str">
            <v>IE3693</v>
          </cell>
          <cell r="I359" t="str">
            <v>adidas Gazelle Earth Strata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59">
            <v>38</v>
          </cell>
          <cell r="L359">
            <v>20000</v>
          </cell>
          <cell r="M359" t="str">
            <v>Коричневый</v>
          </cell>
        </row>
        <row r="360">
          <cell r="A360">
            <v>3215935</v>
          </cell>
          <cell r="F360" t="str">
            <v>NIKE</v>
          </cell>
          <cell r="H360" t="str">
            <v>FZ3611-208</v>
          </cell>
          <cell r="I360" t="str">
            <v>WMNS DUNK LOW 'SMOKEY MAUVE PLAYFUL PINK'</v>
          </cell>
          <cell r="J360">
            <v>39</v>
          </cell>
          <cell r="L360">
            <v>10500</v>
          </cell>
          <cell r="M360" t="str">
            <v>Коричневый</v>
          </cell>
        </row>
        <row r="361">
          <cell r="A361">
            <v>3215936</v>
          </cell>
          <cell r="F361" t="str">
            <v>ADIDAS</v>
          </cell>
          <cell r="H361" t="str">
            <v>IE3402</v>
          </cell>
          <cell r="I361" t="str">
            <v>ADIDAS HANDBALL SPEZIAL 'BLACK WHITE GUM'</v>
          </cell>
          <cell r="J361">
            <v>40.5</v>
          </cell>
          <cell r="L361">
            <v>10800</v>
          </cell>
          <cell r="M361" t="str">
            <v>Черный</v>
          </cell>
        </row>
        <row r="362">
          <cell r="A362">
            <v>3215939</v>
          </cell>
          <cell r="F362" t="str">
            <v>ASICS</v>
          </cell>
          <cell r="H362" t="str">
            <v>1203A297-101</v>
          </cell>
          <cell r="I362" t="str">
            <v>ASICS GEL VENTURE 6 'CREAM'</v>
          </cell>
          <cell r="J362">
            <v>42.5</v>
          </cell>
          <cell r="L362">
            <v>12000</v>
          </cell>
          <cell r="M362" t="str">
            <v>Белый</v>
          </cell>
        </row>
        <row r="363">
          <cell r="A363">
            <v>3215941</v>
          </cell>
          <cell r="F363" t="str">
            <v>NEW BALANCE</v>
          </cell>
          <cell r="H363" t="str">
            <v>M2002RDA</v>
          </cell>
          <cell r="I363" t="str">
            <v>NEW BALANCE 2002R 'PROTECTION PACK - RAIN CLOUD'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63">
            <v>44</v>
          </cell>
          <cell r="L363">
            <v>32000</v>
          </cell>
          <cell r="M363" t="str">
            <v>Серый</v>
          </cell>
        </row>
        <row r="364">
          <cell r="A364">
            <v>3223276</v>
          </cell>
          <cell r="F364" t="str">
            <v>NIKE</v>
          </cell>
          <cell r="H364" t="str">
            <v>FD0736-102</v>
          </cell>
          <cell r="I364" t="str">
            <v>Nike V2K Runner Summit White
38 EU
38,5 EU
39 EU
40 EU
41 EU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364">
            <v>41</v>
          </cell>
          <cell r="L364">
            <v>18432</v>
          </cell>
          <cell r="M364" t="str">
            <v>Белый</v>
          </cell>
        </row>
        <row r="365">
          <cell r="A365">
            <v>3267186</v>
          </cell>
          <cell r="F365" t="str">
            <v>JORDAN</v>
          </cell>
          <cell r="H365" t="str">
            <v>CZ0858-102</v>
          </cell>
          <cell r="I365" t="str">
            <v>JORDAN 1 RETRO LOW OG 'MOCHA'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65">
            <v>36.5</v>
          </cell>
          <cell r="L365">
            <v>25000</v>
          </cell>
          <cell r="M365" t="str">
            <v>Черный</v>
          </cell>
        </row>
        <row r="366">
          <cell r="A366">
            <v>3296947</v>
          </cell>
          <cell r="F366" t="str">
            <v>JORDAN</v>
          </cell>
          <cell r="H366" t="str">
            <v>DV1333-100</v>
          </cell>
          <cell r="I366" t="str">
            <v>Air Jordan 1 Low SE “Concord” (GS)
6 Y / 38.5 EU / 24 CM
5.5 Y / 38 EU / 23.5 CM
7 Y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366">
            <v>36.5</v>
          </cell>
          <cell r="L366">
            <v>22000</v>
          </cell>
          <cell r="M366" t="str">
            <v>Черный</v>
          </cell>
        </row>
        <row r="367">
          <cell r="A367">
            <v>3296948</v>
          </cell>
          <cell r="F367" t="str">
            <v>JORDAN</v>
          </cell>
          <cell r="H367" t="str">
            <v>DV1333-100</v>
          </cell>
          <cell r="I367" t="str">
            <v>Air Jordan 1 Low SE “Concord” (GS)
6 Y / 38.5 EU / 24 CM
5.5 Y / 38 EU / 23.5 CM
7 Y / 40 EU / 25 CM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367">
            <v>37.5</v>
          </cell>
          <cell r="L367">
            <v>22000</v>
          </cell>
          <cell r="M367" t="str">
            <v>Черный</v>
          </cell>
        </row>
        <row r="368">
          <cell r="A368">
            <v>3316100</v>
          </cell>
          <cell r="F368" t="str">
            <v>YEEZY</v>
          </cell>
          <cell r="H368" t="str">
            <v>YZYPODBLK</v>
          </cell>
          <cell r="I368" t="str">
            <v>YZY POD “BLACK”
Размер 2 / 42.5-44.5 EU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68">
            <v>44</v>
          </cell>
          <cell r="L368">
            <v>11448</v>
          </cell>
          <cell r="M368" t="str">
            <v>Черный</v>
          </cell>
        </row>
        <row r="369">
          <cell r="A369">
            <v>3331329</v>
          </cell>
          <cell r="F369" t="str">
            <v>NIKE</v>
          </cell>
          <cell r="H369" t="str">
            <v>CW3203-001</v>
          </cell>
          <cell r="I369" t="str">
            <v>Nike ISPA Sense Flyknit Enigma Stone</v>
          </cell>
          <cell r="J369">
            <v>44.5</v>
          </cell>
          <cell r="L369">
            <v>16000</v>
          </cell>
          <cell r="M369" t="str">
            <v>Серый</v>
          </cell>
        </row>
        <row r="370">
          <cell r="A370">
            <v>3362947</v>
          </cell>
          <cell r="F370" t="str">
            <v>JORDAN</v>
          </cell>
          <cell r="H370" t="str">
            <v>DJ0338-100</v>
          </cell>
          <cell r="I370" t="str">
            <v>Jordan 1 Mid SE Pastel Vivid Green Grind (GS)</v>
          </cell>
          <cell r="J370">
            <v>38</v>
          </cell>
          <cell r="L370">
            <v>12000</v>
          </cell>
          <cell r="M370" t="str">
            <v>Белый</v>
          </cell>
        </row>
        <row r="371">
          <cell r="A371">
            <v>3388241</v>
          </cell>
          <cell r="F371" t="str">
            <v>ADIDAS</v>
          </cell>
          <cell r="H371" t="str">
            <v>IF4491</v>
          </cell>
          <cell r="I371" t="str">
            <v>ADIDAS GAZELLE INDOOR LIGHT BLUE FLORAL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71">
            <v>41</v>
          </cell>
          <cell r="L371">
            <v>20000</v>
          </cell>
          <cell r="M371" t="str">
            <v>Голубой</v>
          </cell>
        </row>
        <row r="372">
          <cell r="A372">
            <v>3417923</v>
          </cell>
          <cell r="F372" t="str">
            <v>ADIDAS</v>
          </cell>
          <cell r="H372" t="str">
            <v>IF5660</v>
          </cell>
          <cell r="I372" t="str">
            <v>adidas Samba Sporty and Rich Burgundy
• Отправка сразу после оплаты
• Размерная сетка бренда в карусели с фотографиями
• По любым вопросам проконсультируем в комментариях ↓
Подписывайтесь на @beegz.co в соцсетях, чтобы не пропустить новые релизы и специальные предложения 🐝</v>
          </cell>
          <cell r="J372">
            <v>40</v>
          </cell>
          <cell r="L372">
            <v>29000</v>
          </cell>
          <cell r="M372" t="str">
            <v>Красный</v>
          </cell>
        </row>
        <row r="373">
          <cell r="A373">
            <v>3455849</v>
          </cell>
          <cell r="F373" t="str">
            <v>ADIDAS</v>
          </cell>
          <cell r="H373" t="str">
            <v>IF6561</v>
          </cell>
          <cell r="I373" t="str">
            <v>WMNS HANDBALL SPEZIAL 'CLEAR PINK ARCTIC NIGHT'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73">
            <v>38.5</v>
          </cell>
          <cell r="L373">
            <v>20000</v>
          </cell>
          <cell r="M373" t="str">
            <v>Розовый</v>
          </cell>
        </row>
        <row r="374">
          <cell r="A374">
            <v>3463167</v>
          </cell>
          <cell r="F374" t="str">
            <v>JORDAN</v>
          </cell>
          <cell r="H374" t="str">
            <v>CZ0858-102</v>
          </cell>
          <cell r="I374" t="str">
            <v>JORDAN 1 RETRO LOW OG 'MOCHA'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74">
            <v>37.5</v>
          </cell>
          <cell r="L374">
            <v>25000</v>
          </cell>
          <cell r="M374" t="str">
            <v>Черный</v>
          </cell>
        </row>
        <row r="375">
          <cell r="A375">
            <v>3463168</v>
          </cell>
          <cell r="F375" t="str">
            <v>JORDAN</v>
          </cell>
          <cell r="H375" t="str">
            <v>CZ0858-102</v>
          </cell>
          <cell r="I375" t="str">
            <v>JORDAN 1 RETRO LOW OG 'MOCHA'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75">
            <v>38</v>
          </cell>
          <cell r="L375">
            <v>25000</v>
          </cell>
          <cell r="M375" t="str">
            <v>Черный</v>
          </cell>
        </row>
        <row r="376">
          <cell r="A376">
            <v>3463169</v>
          </cell>
          <cell r="F376" t="str">
            <v>JORDAN</v>
          </cell>
          <cell r="H376" t="str">
            <v>CZ0858-102</v>
          </cell>
          <cell r="I376" t="str">
            <v>JORDAN 1 RETRO LOW OG 'MOCHA'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76">
            <v>38.5</v>
          </cell>
          <cell r="L376">
            <v>25000</v>
          </cell>
          <cell r="M376" t="str">
            <v>Черный</v>
          </cell>
        </row>
        <row r="377">
          <cell r="A377">
            <v>3463170</v>
          </cell>
          <cell r="F377" t="str">
            <v>JORDAN</v>
          </cell>
          <cell r="H377" t="str">
            <v>CZ0858-102</v>
          </cell>
          <cell r="I377" t="str">
            <v>JORDAN 1 RETRO LOW OG 'MOCHA'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77">
            <v>38.5</v>
          </cell>
          <cell r="L377">
            <v>25000</v>
          </cell>
          <cell r="M377" t="str">
            <v>Черный</v>
          </cell>
        </row>
        <row r="378">
          <cell r="A378">
            <v>3463171</v>
          </cell>
          <cell r="F378" t="str">
            <v>JORDAN</v>
          </cell>
          <cell r="H378" t="str">
            <v>CZ0858-102</v>
          </cell>
          <cell r="I378" t="str">
            <v>JORDAN 1 RETRO LOW OG 'MOCHA'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78">
            <v>39</v>
          </cell>
          <cell r="L378">
            <v>25000</v>
          </cell>
          <cell r="M378" t="str">
            <v>Черный</v>
          </cell>
        </row>
        <row r="379">
          <cell r="A379">
            <v>3463172</v>
          </cell>
          <cell r="F379" t="str">
            <v>JORDAN</v>
          </cell>
          <cell r="H379" t="str">
            <v>CZ0858-102</v>
          </cell>
          <cell r="I379" t="str">
            <v>JORDAN 1 RETRO LOW OG 'MOCHA'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79">
            <v>39</v>
          </cell>
          <cell r="L379">
            <v>25000</v>
          </cell>
          <cell r="M379" t="str">
            <v>Черный</v>
          </cell>
        </row>
        <row r="380">
          <cell r="A380">
            <v>3463181</v>
          </cell>
          <cell r="F380" t="str">
            <v>JORDAN</v>
          </cell>
          <cell r="H380" t="str">
            <v>CZ0790-102</v>
          </cell>
          <cell r="I380" t="str">
            <v>JORDAN 1 RETRO LOW OG 'MOCHA'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80">
            <v>42.5</v>
          </cell>
          <cell r="L380">
            <v>28000</v>
          </cell>
          <cell r="M380" t="str">
            <v>Черный</v>
          </cell>
        </row>
        <row r="381">
          <cell r="A381">
            <v>3463182</v>
          </cell>
          <cell r="F381" t="str">
            <v>JORDAN</v>
          </cell>
          <cell r="H381" t="str">
            <v>CZ0790-102</v>
          </cell>
          <cell r="I381" t="str">
            <v>JORDAN 1 RETRO LOW OG 'MOCHA'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81">
            <v>43</v>
          </cell>
          <cell r="L381">
            <v>28000</v>
          </cell>
          <cell r="M381" t="str">
            <v>Черный</v>
          </cell>
        </row>
        <row r="382">
          <cell r="A382">
            <v>3463183</v>
          </cell>
          <cell r="F382" t="str">
            <v>JORDAN</v>
          </cell>
          <cell r="H382" t="str">
            <v>CZ0790-102</v>
          </cell>
          <cell r="I382" t="str">
            <v>JORDAN 1 RETRO LOW OG 'MOCHA'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82">
            <v>44</v>
          </cell>
          <cell r="L382">
            <v>28000</v>
          </cell>
          <cell r="M382" t="str">
            <v>Черный</v>
          </cell>
        </row>
        <row r="383">
          <cell r="A383">
            <v>3463184</v>
          </cell>
          <cell r="F383" t="str">
            <v>JORDAN</v>
          </cell>
          <cell r="H383" t="str">
            <v>CZ0790-102</v>
          </cell>
          <cell r="I383" t="str">
            <v>JORDAN 1 RETRO LOW OG 'MOCHA'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83">
            <v>44.5</v>
          </cell>
          <cell r="L383">
            <v>28000</v>
          </cell>
          <cell r="M383" t="str">
            <v>Черный</v>
          </cell>
        </row>
        <row r="384">
          <cell r="A384">
            <v>3463185</v>
          </cell>
          <cell r="F384" t="str">
            <v>JORDAN</v>
          </cell>
          <cell r="H384" t="str">
            <v>CZ0790-102</v>
          </cell>
          <cell r="I384" t="str">
            <v>JORDAN 1 RETRO LOW OG 'MOCHA'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84">
            <v>45</v>
          </cell>
          <cell r="L384">
            <v>28000</v>
          </cell>
          <cell r="M384" t="str">
            <v>Черный</v>
          </cell>
        </row>
        <row r="385">
          <cell r="A385">
            <v>3463209</v>
          </cell>
          <cell r="F385" t="str">
            <v>ADIDAS</v>
          </cell>
          <cell r="H385" t="str">
            <v>IE3425</v>
          </cell>
          <cell r="I385" t="str">
            <v>Adidas Wmns SL72 OG 'Preloved Brown'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85">
            <v>38</v>
          </cell>
          <cell r="L385">
            <v>15000</v>
          </cell>
          <cell r="M385" t="str">
            <v>Коричневый</v>
          </cell>
        </row>
        <row r="386">
          <cell r="A386">
            <v>3463210</v>
          </cell>
          <cell r="F386" t="str">
            <v>ADIDAS</v>
          </cell>
          <cell r="H386" t="str">
            <v>IE3425</v>
          </cell>
          <cell r="I386" t="str">
            <v>Adidas Wmns SL72 OG 'Preloved Brown'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86">
            <v>38.5</v>
          </cell>
          <cell r="L386">
            <v>15000</v>
          </cell>
          <cell r="M386" t="str">
            <v>Коричневый</v>
          </cell>
        </row>
        <row r="387">
          <cell r="A387">
            <v>3469616</v>
          </cell>
          <cell r="F387" t="str">
            <v>JORDAN</v>
          </cell>
          <cell r="H387" t="str">
            <v>CZ0858-102</v>
          </cell>
          <cell r="I387" t="str">
            <v>JORDAN 1 RETRO LOW OG 'MOCHA'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87">
            <v>36.5</v>
          </cell>
          <cell r="L387">
            <v>25000</v>
          </cell>
          <cell r="M387" t="str">
            <v>Черный</v>
          </cell>
        </row>
        <row r="388">
          <cell r="A388">
            <v>3469617</v>
          </cell>
          <cell r="F388" t="str">
            <v>JORDAN</v>
          </cell>
          <cell r="H388" t="str">
            <v>CZ0858-102</v>
          </cell>
          <cell r="I388" t="str">
            <v>JORDAN 1 RETRO LOW OG 'MOCHA'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88">
            <v>38</v>
          </cell>
          <cell r="L388">
            <v>25000</v>
          </cell>
          <cell r="M388" t="str">
            <v>Черный</v>
          </cell>
        </row>
        <row r="389">
          <cell r="A389">
            <v>3469618</v>
          </cell>
          <cell r="F389" t="str">
            <v>JORDAN</v>
          </cell>
          <cell r="H389" t="str">
            <v>CZ0858-102</v>
          </cell>
          <cell r="I389" t="str">
            <v>JORDAN 1 RETRO LOW OG 'MOCHA'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89">
            <v>40</v>
          </cell>
          <cell r="L389">
            <v>25000</v>
          </cell>
          <cell r="M389" t="str">
            <v>Черный</v>
          </cell>
        </row>
        <row r="390">
          <cell r="A390">
            <v>3469619</v>
          </cell>
          <cell r="F390" t="str">
            <v>JORDAN</v>
          </cell>
          <cell r="H390" t="str">
            <v>CZ0858-102</v>
          </cell>
          <cell r="I390" t="str">
            <v>JORDAN 1 RETRO LOW OG 'MOCHA'
• Отправка сразу после оплаты
• Размерная сетка бренда в карусели с фотографиями
• По любым вопросам проконсультируем по кнопке "Написать продавцу" ↓
Подписывайтесь на @beegz.co в соцсетях, чтобы не пропустить новые релизы и специальные предложения 🐝</v>
          </cell>
          <cell r="J390">
            <v>40</v>
          </cell>
          <cell r="L390">
            <v>25000</v>
          </cell>
          <cell r="M390" t="str">
            <v>Черный</v>
          </cell>
        </row>
        <row r="391">
          <cell r="A391">
            <v>3469944</v>
          </cell>
          <cell r="F391" t="str">
            <v>ADIDAS</v>
          </cell>
          <cell r="H391" t="str">
            <v>IF8914</v>
          </cell>
          <cell r="I391" t="str">
            <v>adidas Handball Spezial 'Shadow Brown Gum'</v>
          </cell>
          <cell r="J391">
            <v>42</v>
          </cell>
          <cell r="L391">
            <v>18500</v>
          </cell>
          <cell r="M391" t="str">
            <v>Коричневый</v>
          </cell>
        </row>
        <row r="392">
          <cell r="A392">
            <v>3492896</v>
          </cell>
          <cell r="F392" t="str">
            <v>NEW BALANCE</v>
          </cell>
          <cell r="H392" t="str">
            <v>MR530AD</v>
          </cell>
          <cell r="I392" t="str">
            <v>New Balance 530 'White Metallic Silver'</v>
          </cell>
          <cell r="J392">
            <v>42</v>
          </cell>
          <cell r="L392">
            <v>9300</v>
          </cell>
          <cell r="M392" t="str">
            <v>Белый</v>
          </cell>
        </row>
        <row r="393">
          <cell r="H393" t="str">
            <v>DD1869-107</v>
          </cell>
        </row>
        <row r="394">
          <cell r="H394" t="str">
            <v>DD1869-107</v>
          </cell>
        </row>
        <row r="395">
          <cell r="H395" t="str">
            <v>DD1869-101</v>
          </cell>
        </row>
        <row r="396">
          <cell r="H396" t="str">
            <v>CD0461-001</v>
          </cell>
        </row>
        <row r="397">
          <cell r="H397" t="str">
            <v>DV0982-100</v>
          </cell>
        </row>
        <row r="398">
          <cell r="H398" t="str">
            <v>BB550WT1</v>
          </cell>
        </row>
        <row r="399">
          <cell r="H399" t="str">
            <v>GY7924</v>
          </cell>
        </row>
        <row r="400">
          <cell r="H400" t="str">
            <v>BB550HL1</v>
          </cell>
        </row>
        <row r="401">
          <cell r="H401" t="str">
            <v>BB550HL1</v>
          </cell>
        </row>
        <row r="402">
          <cell r="H402" t="str">
            <v>BB550WT1</v>
          </cell>
        </row>
        <row r="403">
          <cell r="H403" t="str">
            <v>BB550WT1</v>
          </cell>
        </row>
        <row r="404">
          <cell r="H404" t="str">
            <v>BB550WT1</v>
          </cell>
        </row>
        <row r="405">
          <cell r="H405" t="str">
            <v>BB550WT1</v>
          </cell>
        </row>
        <row r="406">
          <cell r="H406" t="str">
            <v>BB550WT1</v>
          </cell>
        </row>
        <row r="407">
          <cell r="H407" t="str">
            <v>BB550HL1</v>
          </cell>
        </row>
      </sheetData>
      <sheetData sheetId="3">
        <row r="1">
          <cell r="A1" t="str">
            <v>Id</v>
          </cell>
          <cell r="B1" t="str">
            <v>ImageUrls</v>
          </cell>
        </row>
        <row r="2">
          <cell r="A2" t="str">
            <v>1203A297-101</v>
          </cell>
          <cell r="B2" t="str">
            <v>https://i.ibb.co/sv82m6fd/1.jpg</v>
          </cell>
        </row>
        <row r="3">
          <cell r="A3" t="str">
            <v>553560-052</v>
          </cell>
          <cell r="B3" t="str">
            <v>https://i.ibb.co/JWpyDBHN/1-1.jpg|https://i.ibb.co/hJxkR6Hn/2.jpg|https://i.ibb.co/5h7LtDTD/3.jpg|https://i.ibb.co/SwQpVVsz/4.jpg</v>
          </cell>
        </row>
        <row r="4">
          <cell r="A4" t="str">
            <v>553560-113</v>
          </cell>
          <cell r="B4" t="str">
            <v>https://i.ibb.co/b5bjFXCR/1-1.jpg|https://i.ibb.co/8nb08Ttc/2.jpg|https://i.ibb.co/JFHcHNGC/3.jpg|https://i.ibb.co/Gv2jrQN0/4.jpg</v>
          </cell>
        </row>
        <row r="5">
          <cell r="A5" t="str">
            <v>554725-078</v>
          </cell>
          <cell r="B5" t="str">
            <v>https://i.ibb.co/97jv6VD/1.jpg</v>
          </cell>
        </row>
        <row r="6">
          <cell r="A6" t="str">
            <v>555088-706</v>
          </cell>
          <cell r="B6" t="str">
            <v>https://i.ibb.co/GmTzTmR/1.jpg|https://i.ibb.co/1ftfc8bw/2.jpg|https://i.ibb.co/VGfs7w9/3.jpg|https://i.ibb.co/LDhjyWKt/4.jpg</v>
          </cell>
        </row>
        <row r="7">
          <cell r="A7" t="str">
            <v>575441-706</v>
          </cell>
          <cell r="B7" t="str">
            <v>https://i.ibb.co/GmTzTmR/1.jpg|https://i.ibb.co/1ftfc8bw/2.jpg|https://i.ibb.co/VGfs7w9/3.jpg|https://i.ibb.co/LDhjyWKt/4.jpg</v>
          </cell>
        </row>
        <row r="8">
          <cell r="A8">
            <v>772109</v>
          </cell>
          <cell r="B8" t="str">
            <v>https://i.ibb.co/V0LxRH88/1-1.jpg|https://i.ibb.co/Ccghwnn/2.jpg|https://i.ibb.co/3yzdn8HJ/3.jpg|https://i.ibb.co/4RBysR3m/4.jpg</v>
          </cell>
        </row>
        <row r="9">
          <cell r="A9" t="str">
            <v>AO9944-441</v>
          </cell>
          <cell r="B9" t="str">
            <v>https://i.ibb.co/wZp6V2ff/1-1.jpg</v>
          </cell>
        </row>
        <row r="10">
          <cell r="A10" t="str">
            <v>B75806</v>
          </cell>
          <cell r="B10" t="str">
            <v>https://i.ibb.co/V0LxRH88/1-1.jpg|https://i.ibb.co/Ccghwnn/2.jpg|https://i.ibb.co/3yzdn8HJ/3.jpg|https://i.ibb.co/4RBysR3m/4.jpg</v>
          </cell>
        </row>
        <row r="11">
          <cell r="A11" t="str">
            <v>B75807</v>
          </cell>
          <cell r="B11" t="str">
            <v>https://i.ibb.co/qY1xbpcL/1-1.jpg|https://i.ibb.co/TxfmcdKD/2.jpg|https://i.ibb.co/yB5xNb2H/3.jpg|https://i.ibb.co/607GRjCB/4.jpg</v>
          </cell>
        </row>
        <row r="12">
          <cell r="A12" t="str">
            <v>B75807 (ADV)</v>
          </cell>
          <cell r="B12" t="str">
            <v>https://i.ibb.co/SXN64GYs/images.jpg</v>
          </cell>
        </row>
        <row r="13">
          <cell r="A13" t="str">
            <v>BD7633</v>
          </cell>
          <cell r="B13" t="str">
            <v>https://i.ibb.co/tMDrQr79/1.jpg|https://i.ibb.co/MkMbd27R/2.jpg|https://i.ibb.co/SwF0pQP7/3.jpg|https://i.ibb.co/4wJpYyT9/4.jpg</v>
          </cell>
        </row>
        <row r="14">
          <cell r="A14" t="str">
            <v>BQ6472-105</v>
          </cell>
          <cell r="B14" t="str">
            <v>https://i.ibb.co/Q7NPYXDQ/1-1.jpg|https://i.ibb.co/QFSwP6Bh/2.jpg|https://i.ibb.co/qLN13WhF/3.jpg|https://i.ibb.co/G3t7VY73/4.jpg</v>
          </cell>
        </row>
        <row r="15">
          <cell r="A15" t="str">
            <v>BQ6472-121</v>
          </cell>
          <cell r="B15" t="str">
            <v>https://i.ibb.co/xKNNZS5N/1.jpg|https://i.ibb.co/cmMYR8y/2.jpg|https://i.ibb.co/7xMSNHQs/3.jpg|https://i.ibb.co/Qj39mfp6/4.jpg</v>
          </cell>
        </row>
        <row r="16">
          <cell r="A16" t="str">
            <v>BQ6472-202</v>
          </cell>
          <cell r="B16" t="str">
            <v>https://i.ibb.co/BHgDYfkS/1.jpg</v>
          </cell>
        </row>
        <row r="17">
          <cell r="A17" t="str">
            <v>BQ6472-500</v>
          </cell>
          <cell r="B17" t="str">
            <v>https://i.ibb.co/wFRVTp77/1.jpg</v>
          </cell>
        </row>
        <row r="18">
          <cell r="A18" t="str">
            <v>CT0979-200</v>
          </cell>
          <cell r="B18" t="str">
            <v>https://i.ibb.co/zVDxDDCc/1-1.jpg</v>
          </cell>
        </row>
        <row r="19">
          <cell r="A19" t="str">
            <v>CW1590-100</v>
          </cell>
          <cell r="B19" t="str">
            <v>https://i.ibb.co/s9jqpTzY/1.jpg</v>
          </cell>
        </row>
        <row r="20">
          <cell r="A20" t="str">
            <v>CW1590-102</v>
          </cell>
          <cell r="B20" t="str">
            <v>https://i.ibb.co/8DYkfvBv/1-1.jpg</v>
          </cell>
        </row>
        <row r="21">
          <cell r="A21" t="str">
            <v>CW1590-103</v>
          </cell>
          <cell r="B21" t="str">
            <v>https://i.ibb.co/k28NKYQv/1.jpg</v>
          </cell>
        </row>
        <row r="22">
          <cell r="A22" t="str">
            <v>CW3203-001</v>
          </cell>
          <cell r="B22" t="str">
            <v>https://i.ibb.co/W4kT0HVV/1.jpg|https://i.ibb.co/chyrkTHp/2.jpg|https://i.ibb.co/s9sN0b6d/3.jpg|https://i.ibb.co/cc3SMyNZ/4.jpg</v>
          </cell>
        </row>
        <row r="23">
          <cell r="A23" t="str">
            <v>CZ0790-001</v>
          </cell>
          <cell r="B23" t="str">
            <v>https://i.ibb.co/mCtjHwp6/1.jpg|https://i.ibb.co/wnxt7L5/2.jpg|https://i.ibb.co/gFXdnNPZ/3.jpg|https://i.ibb.co/mCqDV6XL/4.jpg</v>
          </cell>
        </row>
        <row r="24">
          <cell r="A24" t="str">
            <v>CZ0790-102</v>
          </cell>
          <cell r="B24" t="str">
            <v>https://i.ibb.co/QjPkwQtd/1-1.jpg|https://i.ibb.co/YB6Bdsfh/2.jpg|https://i.ibb.co/jvbcH7gd/3.jpg|https://i.ibb.co/XZPdSYqj/4.jpg</v>
          </cell>
        </row>
        <row r="25">
          <cell r="A25" t="str">
            <v>CZ0790-106</v>
          </cell>
          <cell r="B25" t="str">
            <v>https://i.ibb.co/6cW50xv5/1-1.jpg|https://i.ibb.co/KzqD6zkm/2.jpg|https://i.ibb.co/Q7X7z9zM/3.jpg|https://i.ibb.co/LD4njZxL/4.jpg</v>
          </cell>
        </row>
        <row r="26">
          <cell r="A26" t="str">
            <v>CZ0790-110</v>
          </cell>
          <cell r="B26" t="str">
            <v>https://i.ibb.co/93bLDfjN/1.jpg|https://i.ibb.co/wfv4pTf/2.jpg|https://i.ibb.co/F4DKTYJh/3.jpg|https://i.ibb.co/gb5WM64D/4.jpg</v>
          </cell>
        </row>
        <row r="27">
          <cell r="A27" t="str">
            <v>CZ0858-102</v>
          </cell>
          <cell r="B27" t="str">
            <v>https://i.ibb.co/vv1B4jLz/1.jpg|https://i.ibb.co/Mk95cPbB/2.jpg|https://i.ibb.co/VWV1DWB7/3.jpg|https://i.ibb.co/BV406dHx/4.jpg</v>
          </cell>
        </row>
        <row r="28">
          <cell r="A28" t="str">
            <v>CZ2496-001</v>
          </cell>
          <cell r="B28" t="str">
            <v>https://i.ibb.co/XkGz3Jx9/1-1.jpg</v>
          </cell>
        </row>
        <row r="29">
          <cell r="A29" t="str">
            <v>DB4612-300</v>
          </cell>
          <cell r="B29" t="str">
            <v>https://i.ibb.co/fLsTwk5/1-1.jpg|https://i.ibb.co/MDxGwbfb/2.jpg|https://i.ibb.co/KcjFTP7w/4.jpg|https://i.ibb.co/0dyFgNB/DB4612-300.jpg</v>
          </cell>
        </row>
        <row r="30">
          <cell r="A30" t="str">
            <v>DC0774-101</v>
          </cell>
          <cell r="B30" t="str">
            <v>https://i.ibb.co/N2wLbZmW/1.jpg|https://i.ibb.co/Mxjf59BW/2.jpg|https://i.ibb.co/htMYtPy/3.jpg|https://i.ibb.co/5gQ0d6gP/4.jpg</v>
          </cell>
        </row>
        <row r="31">
          <cell r="A31" t="str">
            <v>DC0774-105</v>
          </cell>
          <cell r="B31" t="str">
            <v>https://i.ibb.co/qYc980yL/1-1.jpg</v>
          </cell>
        </row>
        <row r="32">
          <cell r="A32" t="str">
            <v>DC0774-141</v>
          </cell>
          <cell r="B32" t="str">
            <v>https://i.ibb.co/SXD6DByb/1.jpg</v>
          </cell>
        </row>
        <row r="33">
          <cell r="A33" t="str">
            <v>DC0774-304</v>
          </cell>
          <cell r="B33" t="str">
            <v>https://i.ibb.co/39d5926j/1.jpg|https://i.ibb.co/395tdmQb/2.jpg|https://i.ibb.co/GvGVqkDP/3.jpg|https://i.ibb.co/Qj73H6Dy/4.jpg</v>
          </cell>
        </row>
        <row r="34">
          <cell r="A34" t="str">
            <v>DC7267-500</v>
          </cell>
          <cell r="B34" t="str">
            <v>https://i.ibb.co/rRHj48Tx/1.jpg</v>
          </cell>
        </row>
        <row r="35">
          <cell r="A35" t="str">
            <v>DC9617-600</v>
          </cell>
          <cell r="B35" t="str">
            <v>https://i.ibb.co/cS3p7Lbs/1.jpg</v>
          </cell>
        </row>
        <row r="36">
          <cell r="A36" t="str">
            <v>DD1391-001</v>
          </cell>
          <cell r="B36" t="str">
            <v>https://i.ibb.co/RtyzMvw/1-1.jpg</v>
          </cell>
        </row>
        <row r="37">
          <cell r="A37" t="str">
            <v>DD1391-103</v>
          </cell>
          <cell r="B37" t="str">
            <v>https://i.ibb.co/23GCmXmr/1-1.jpg|https://i.ibb.co/RTnf4VjD/2.jpg|https://i.ibb.co/Z66hN3X9/3.jpg|https://i.ibb.co/r2BfGSsm/4.jpg</v>
          </cell>
        </row>
        <row r="38">
          <cell r="A38" t="str">
            <v>DD1503-001</v>
          </cell>
          <cell r="B38" t="str">
            <v>https://i.ibb.co/spL5tx4t/1-1.jpg</v>
          </cell>
        </row>
        <row r="39">
          <cell r="A39" t="str">
            <v>DD1503-101</v>
          </cell>
          <cell r="B39" t="str">
            <v>https://i.ibb.co/KpVQ313k/1-1.jpg|https://i.ibb.co/PZS7ShWS/2.jpg|https://i.ibb.co/7Jfy4VWt/3.jpg|https://i.ibb.co/whWP1Z0R/4.jpg</v>
          </cell>
        </row>
        <row r="40">
          <cell r="A40" t="str">
            <v>DD1503-103</v>
          </cell>
          <cell r="B40" t="str">
            <v>https://i.ibb.co/Xxh034ZG/1-1.jpg|https://i.ibb.co/CpJ6kQYn/2.jpg|https://i.ibb.co/cK8TGjK1/3.jpg|https://i.ibb.co/99b1PqF2/4.jpg</v>
          </cell>
        </row>
        <row r="41">
          <cell r="A41" t="str">
            <v>DD1503-111</v>
          </cell>
          <cell r="B41" t="str">
            <v>https://i.ibb.co/x8JVMvb5/1.jpg</v>
          </cell>
        </row>
        <row r="42">
          <cell r="A42" t="str">
            <v>DD1503-114</v>
          </cell>
          <cell r="B42" t="str">
            <v>https://i.ibb.co/Z61XdNhk/1.jpg|https://i.ibb.co/gFH2n49G/2.jpg|https://i.ibb.co/VYV65mmN/3.jpg|https://i.ibb.co/TDTbM0wL/4.jpg</v>
          </cell>
        </row>
        <row r="43">
          <cell r="A43" t="str">
            <v>DD1503-116</v>
          </cell>
          <cell r="B43" t="str">
            <v>https://i.ibb.co/0VQTwvQY/1.jpg|https://i.ibb.co/rGXZVBwg/2.jpg|https://i.ibb.co/rRPcvvZV/3.jpg|https://i.ibb.co/tw3PW6vL/4.jpg</v>
          </cell>
        </row>
        <row r="44">
          <cell r="A44" t="str">
            <v>DD1503-124</v>
          </cell>
          <cell r="B44" t="str">
            <v>https://i.ibb.co/8gq2wpYT/1-1.jpg|https://i.ibb.co/8gbB5K42/2.jpg|https://i.ibb.co/mV1rWYzD/3.jpg|https://i.ibb.co/3Y4gtdmc/4.jpg</v>
          </cell>
        </row>
        <row r="45">
          <cell r="A45" t="str">
            <v>DD1869-107</v>
          </cell>
          <cell r="B45" t="str">
            <v>https://i.ibb.co/3yPnRDpF/1-1.jpg|https://i.ibb.co/KxG910vF/2.jpg|https://i.ibb.co/CKvn3xWZ/3.jpg|https://i.ibb.co/kVvwxWHg/4.jpg</v>
          </cell>
        </row>
        <row r="46">
          <cell r="A46" t="str">
            <v>DD1873-102</v>
          </cell>
          <cell r="B46" t="str">
            <v>https://i.ibb.co/XZ2qjJ41/1.jpg|https://i.ibb.co/vCDpSzgv/2.jpg|https://i.ibb.co/SXjGXVvm/3.jpg|https://i.ibb.co/XxdGGj8C/4.jpg</v>
          </cell>
        </row>
        <row r="47">
          <cell r="A47" t="str">
            <v>DD2192-001</v>
          </cell>
          <cell r="B47" t="str">
            <v>https://i.ibb.co/twKsbtYm/1-1.jpg</v>
          </cell>
        </row>
        <row r="48">
          <cell r="A48" t="str">
            <v>DH4401-102</v>
          </cell>
          <cell r="B48" t="str">
            <v>https://i.ibb.co/ZPxqzwS/1-1.jpg</v>
          </cell>
        </row>
        <row r="49">
          <cell r="A49" t="str">
            <v>DH9765-001</v>
          </cell>
          <cell r="B49" t="str">
            <v>https://i.ibb.co/XkxkQ9jh/1-1.jpg</v>
          </cell>
        </row>
        <row r="50">
          <cell r="A50" t="str">
            <v>DJ0338-100</v>
          </cell>
          <cell r="B50" t="str">
            <v>https://i.ibb.co/hJG5jSpy/1-1.jpg</v>
          </cell>
        </row>
        <row r="51">
          <cell r="A51" t="str">
            <v>DJ1173-700</v>
          </cell>
          <cell r="B51" t="str">
            <v>https://i.ibb.co/FLJ2ntX7/1-2.jpg|https://i.ibb.co/1YgKQLm8/2.jpg|https://i.ibb.co/Zph2Mms7/3.jpg|https://i.ibb.co/7tCPKM8c/4.jpg</v>
          </cell>
        </row>
        <row r="52">
          <cell r="A52" t="str">
            <v>DM1602-103</v>
          </cell>
          <cell r="B52" t="str">
            <v>https://i.ibb.co/SDv096VP/1.jpg</v>
          </cell>
        </row>
        <row r="53">
          <cell r="A53" t="str">
            <v>DM6216-001</v>
          </cell>
          <cell r="B53" t="str">
            <v>https://i.ibb.co/TxjM0nsL/1.jpg|https://i.ibb.co/Mx4D3ck9/2.jpg|https://i.ibb.co/m5jgYH7g/3.jpg|https://i.ibb.co/Xk6DYB35/4.jpg|https://i.ibb.co/v4gBjQNX/CD0461-001.jpg</v>
          </cell>
        </row>
        <row r="54">
          <cell r="A54" t="str">
            <v>DM9077-108</v>
          </cell>
          <cell r="B54" t="str">
            <v>https://i.ibb.co/gbwz6f1y/1.jpg</v>
          </cell>
        </row>
        <row r="55">
          <cell r="A55" t="str">
            <v>DN4045-001</v>
          </cell>
          <cell r="B55" t="str">
            <v>https://i.ibb.co/XxQgsCbR/1-1.jpg</v>
          </cell>
        </row>
        <row r="56">
          <cell r="A56" t="str">
            <v>DQ7579-300</v>
          </cell>
          <cell r="B56" t="str">
            <v>https://i.ibb.co/mCgP5dP4/1.jpg</v>
          </cell>
        </row>
        <row r="57">
          <cell r="A57" t="str">
            <v>DQ8423-301</v>
          </cell>
          <cell r="B57" t="str">
            <v>https://i.ibb.co/PvrpMYHt/1.jpg|https://i.ibb.co/V0sTvmw7/2.jpg|https://i.ibb.co/NztBLCn/3.jpg|https://i.ibb.co/Wp513WFR/4.jpg</v>
          </cell>
        </row>
        <row r="58">
          <cell r="A58" t="str">
            <v>DQ8580-100</v>
          </cell>
          <cell r="B58" t="str">
            <v>https://i.ibb.co/jv41xq5g/1-1.jpg</v>
          </cell>
        </row>
        <row r="59">
          <cell r="A59" t="str">
            <v>DR0174-500</v>
          </cell>
          <cell r="B59" t="str">
            <v>https://i.ibb.co/VYXxCy3L/1.jpg</v>
          </cell>
        </row>
        <row r="60">
          <cell r="A60" t="str">
            <v>DR0424-100</v>
          </cell>
          <cell r="B60" t="str">
            <v>https://i.ibb.co/gZ3pt9Zt/1.jpg|https://i.ibb.co/QvXZHwG0/2.jpg|https://i.ibb.co/LzN8RzDs/3.jpg|https://i.ibb.co/JRdxY9MW/4.jpg</v>
          </cell>
        </row>
        <row r="61">
          <cell r="A61" t="str">
            <v>DR0501-101</v>
          </cell>
          <cell r="B61" t="str">
            <v>https://i.ibb.co/Y490FqGk/6-1.jpg|https://i.ibb.co/HD00dwSH/7.jpg|https://i.ibb.co/LX4R87kK/8.jpg|https://i.ibb.co/CK11FJqk/9.jpg</v>
          </cell>
        </row>
        <row r="62">
          <cell r="A62" t="str">
            <v>DR0502-101</v>
          </cell>
          <cell r="B62" t="str">
            <v>https://i.ibb.co/hRc0zdRW/1-1.jpg|https://i.ibb.co/39f97ntP/2.jpg|https://i.ibb.co/3m6D5VPB/3.jpg|https://i.ibb.co/0p8X4PBs/4.jpg|https://i.ibb.co/hFZB0SRK/5.jpg|https://i.ibb.co/KcvDHfZj/6.jpg|https://i.ibb.co/wFQP9WMQ/9.jpg</v>
          </cell>
        </row>
        <row r="63">
          <cell r="A63" t="str">
            <v>DV0991-101</v>
          </cell>
          <cell r="B63" t="str">
            <v>https://i.ibb.co/GvgPbgY2/1-1.jpg|https://i.ibb.co/k2cSytYV/2.jpg|https://i.ibb.co/67LC2bKH/3.jpg|https://i.ibb.co/wNt2PXKH/4.jpg</v>
          </cell>
        </row>
        <row r="64">
          <cell r="A64" t="str">
            <v>DV1333-100</v>
          </cell>
          <cell r="B64" t="str">
            <v>https://i.ibb.co/JjsHCgZ2/1.jpg</v>
          </cell>
        </row>
        <row r="65">
          <cell r="A65" t="str">
            <v>DV1337-104</v>
          </cell>
          <cell r="B65" t="str">
            <v>https://i.ibb.co/LDLQ1Pqm/1.jpg|https://i.ibb.co/jvFjSB1T/2.jpg|https://i.ibb.co/G4B2rxrt/3.jpg|https://i.ibb.co/nNLwmKwy/4.jpg</v>
          </cell>
        </row>
        <row r="66">
          <cell r="A66" t="str">
            <v>DZ4137-106</v>
          </cell>
          <cell r="B66" t="str">
            <v>https://i.ibb.co/Kxbfgdnc/1.jpg</v>
          </cell>
        </row>
        <row r="67">
          <cell r="A67" t="str">
            <v>DZ5485-052</v>
          </cell>
          <cell r="B67" t="str">
            <v>https://i.ibb.co/Y7dVMtGv/1.jpg|https://i.ibb.co/FLQ8XGZS/2.jpg|https://i.ibb.co/dwd7R22r/3.jpg|https://i.ibb.co/20Hm133P/4.jpg</v>
          </cell>
        </row>
        <row r="68">
          <cell r="A68" t="str">
            <v>DZ6333-083</v>
          </cell>
          <cell r="B68" t="str">
            <v>https://i.ibb.co/35Fch8nC/1.jpg|https://i.ibb.co/mCNxmRhB/2.jpg|https://i.ibb.co/Z12KzYNV/3.jpg|https://i.ibb.co/VW7H4Cf1/4.jpg</v>
          </cell>
        </row>
        <row r="69">
          <cell r="A69" t="str">
            <v>FB7173-131</v>
          </cell>
          <cell r="B69" t="str">
            <v>https://i.ibb.co/r2ZS5rmY/1-1.jpg|https://i.ibb.co/RTpmPrtp/2.jpg|https://i.ibb.co/ZzsLkQPS/3.jpg|https://i.ibb.co/BKwy0jqD/4.jpg</v>
          </cell>
        </row>
        <row r="70">
          <cell r="A70" t="str">
            <v>FB9139-002</v>
          </cell>
          <cell r="B70" t="str">
            <v>https://i.ibb.co/8gd2KL0Y/1-1.jpg|https://i.ibb.co/yFD6CkQq/2.jpg|https://i.ibb.co/TDZsTqTh/3.jpg|https://i.ibb.co/RkmxVTMT/FB9139-002.jpg</v>
          </cell>
        </row>
        <row r="71">
          <cell r="A71" t="str">
            <v>FB9893-101</v>
          </cell>
          <cell r="B71" t="str">
            <v>https://i.ibb.co/ZRx2D7hV/1.jpg|https://i.ibb.co/BJR3KdV/2.jpg|https://i.ibb.co/gLG99HZV/3.jpg|https://i.ibb.co/8LyYkBRF/4.jpg</v>
          </cell>
        </row>
        <row r="72">
          <cell r="A72" t="str">
            <v>FD0736-101</v>
          </cell>
          <cell r="B72" t="str">
            <v>https://i.ibb.co/Q7qBGKZf/1-1.jpg|https://i.ibb.co/Qv72VzMb/2.jpg|https://i.ibb.co/Z1pF3VR7/3.jpg|https://i.ibb.co/Rp1HMMbm/4.jpg</v>
          </cell>
        </row>
        <row r="73">
          <cell r="A73" t="str">
            <v>FD0736-102</v>
          </cell>
          <cell r="B73" t="str">
            <v>https://i.ibb.co/rGwp2Pcg/1-1.jpg</v>
          </cell>
        </row>
        <row r="74">
          <cell r="A74" t="str">
            <v>FD1437-031</v>
          </cell>
          <cell r="B74" t="str">
            <v>https://i.ibb.co/jvG6gHyj/1-1.jpg</v>
          </cell>
        </row>
        <row r="75">
          <cell r="A75" t="str">
            <v>FD1449-100</v>
          </cell>
          <cell r="B75" t="str">
            <v>https://i.ibb.co/35QK4CdT/1.jpg</v>
          </cell>
        </row>
        <row r="76">
          <cell r="A76" t="str">
            <v>FD2562-400</v>
          </cell>
          <cell r="B76" t="str">
            <v>https://i.ibb.co/22bjq5j/1.jpg|https://i.ibb.co/4wS9HG8Z/4.jpg</v>
          </cell>
        </row>
        <row r="77">
          <cell r="A77" t="str">
            <v>FJ4553-133</v>
          </cell>
          <cell r="B77" t="str">
            <v>https://i.ibb.co/JwZdjhSF/1-1.jpg</v>
          </cell>
        </row>
        <row r="78">
          <cell r="A78" t="str">
            <v>FJ4555-100</v>
          </cell>
          <cell r="B78" t="str">
            <v>https://i.ibb.co/s91JqjyG/1.jpg|https://i.ibb.co/PGXdPQpP/2.jpg|https://i.ibb.co/ZDkJvbZ/3.jpg|https://i.ibb.co/WNQxGQFf/4.jpg</v>
          </cell>
        </row>
        <row r="79">
          <cell r="A79" t="str">
            <v>FN5032-200</v>
          </cell>
          <cell r="B79" t="str">
            <v>https://i.ibb.co/0VG0319H/1-1.jpg|https://i.ibb.co/rGhmtdM6/2.jpg|https://i.ibb.co/TB7bqCq2/3.jpg|https://i.ibb.co/0pZCdB6F/4.jpg</v>
          </cell>
        </row>
        <row r="80">
          <cell r="A80" t="str">
            <v>FN5880-001</v>
          </cell>
          <cell r="B80" t="str">
            <v>https://i.ibb.co/zWKTMmcK/1-1.jpg</v>
          </cell>
        </row>
        <row r="81">
          <cell r="A81" t="str">
            <v>FN8923</v>
          </cell>
          <cell r="B81" t="str">
            <v>https://i.ibb.co/9PTkbHr/1.jpg</v>
          </cell>
        </row>
        <row r="82">
          <cell r="A82" t="str">
            <v>FQ7069-100</v>
          </cell>
          <cell r="B82" t="str">
            <v>https://i.ibb.co/V0Gg98xL/1.jpg|https://i.ibb.co/v6hDG9Pj/2.jpg|https://i.ibb.co/ynnC2grt/3.jpg|https://i.ibb.co/C5FCFMj9/4.jpg|https://i.ibb.co/N20pPb5V/5.jpg</v>
          </cell>
        </row>
        <row r="83">
          <cell r="A83" t="str">
            <v>FV6516 001</v>
          </cell>
          <cell r="B83" t="str">
            <v>https://i.ibb.co/Lz98CtSw/1.jpg|https://i.ibb.co/JWRWR1s2/2.jpg|https://i.ibb.co/qV6XtwD/3.jpg|https://i.ibb.co/qYhXgsX0/4.jpg</v>
          </cell>
        </row>
        <row r="84">
          <cell r="A84" t="str">
            <v>FX5398</v>
          </cell>
          <cell r="B84" t="str">
            <v>https://i.ibb.co/4g48c7hg/1-1.jpg|https://i.ibb.co/7dbY6zTc/2.jpg|https://i.ibb.co/fdQmcVs9/3.jpg|https://i.ibb.co/f57F2YX/4.jpg</v>
          </cell>
        </row>
        <row r="85">
          <cell r="A85" t="str">
            <v>FZ3611-208</v>
          </cell>
          <cell r="B85" t="str">
            <v>https://i.ibb.co/Lzr9f32z/1.jpg</v>
          </cell>
        </row>
        <row r="86">
          <cell r="A86" t="str">
            <v>FZ6404</v>
          </cell>
          <cell r="B86" t="str">
            <v>https://i.ibb.co/bj03qHFL/1.jpg</v>
          </cell>
        </row>
        <row r="87">
          <cell r="A87" t="str">
            <v>GY0038</v>
          </cell>
          <cell r="B87" t="str">
            <v>https://i.ibb.co/NgWTxp7L/1.jpg|https://i.ibb.co/PGF2cZ4B/2.jpg|https://i.ibb.co/6c1f0jPq/3.jpg|https://i.ibb.co/7mKtkVf/4.jpg</v>
          </cell>
        </row>
        <row r="88">
          <cell r="A88" t="str">
            <v>H06122</v>
          </cell>
          <cell r="B88" t="str">
            <v>https://i.ibb.co/7dNfKCTr/1.jpg|https://i.ibb.co/twYSjznp/2.jpg|https://i.ibb.co/sv7jYgSk/3.jpg|https://i.ibb.co/HWthNgn/4.jpg</v>
          </cell>
        </row>
        <row r="89">
          <cell r="A89" t="str">
            <v>H06259</v>
          </cell>
          <cell r="B89" t="str">
            <v>https://i.ibb.co/DfyZh8BL/1-1.jpg</v>
          </cell>
        </row>
        <row r="90">
          <cell r="A90" t="str">
            <v>HP3354</v>
          </cell>
          <cell r="B90" t="str">
            <v>https://i.ibb.co/tNgDrzZ/1-1.jpg|https://i.ibb.co/NdN30jqR/2.jpg|https://i.ibb.co/20X7tVRW/3.jpg|https://i.ibb.co/tprs5CBq/4.jpg</v>
          </cell>
        </row>
        <row r="91">
          <cell r="A91" t="str">
            <v>HQ8708</v>
          </cell>
          <cell r="B91" t="str">
            <v>https://i.ibb.co/mFvvYb89/1-1.jpg|https://i.ibb.co/v4htR6w6/2.jpg|https://i.ibb.co/tMYKGSdx/3.jpg|https://i.ibb.co/0N6jGKX/4.jpg</v>
          </cell>
        </row>
        <row r="92">
          <cell r="A92" t="str">
            <v>HQ8717</v>
          </cell>
          <cell r="B92" t="str">
            <v>https://i.ibb.co/JFc2h5Zn/1-1.jpg|https://i.ibb.co/SDmRQjX6/2.jpg|https://i.ibb.co/ksVq1r5Q/3.jpg|https://i.ibb.co/pjmvBGCw/4.jpg</v>
          </cell>
        </row>
        <row r="93">
          <cell r="A93" t="str">
            <v>ID0477</v>
          </cell>
          <cell r="B93" t="str">
            <v>https://i.ibb.co/s9xQ51zQ/1.jpg|https://i.ibb.co/MkGD5Pt4/2.jpg|https://i.ibb.co/zhND30rN/3.jpg|https://i.ibb.co/PZBW7CVS/4.jpg</v>
          </cell>
        </row>
        <row r="94">
          <cell r="A94" t="str">
            <v>ID2054</v>
          </cell>
          <cell r="B94" t="str">
            <v>https://i.ibb.co/xKYFb6XZ/1-1.jpg|https://i.ibb.co/mr13qDPD/2.jpg|https://i.ibb.co/r25y5gRX/3.jpg|https://i.ibb.co/C5S93jKG/4.jpg</v>
          </cell>
        </row>
        <row r="95">
          <cell r="A95" t="str">
            <v>ID2567</v>
          </cell>
          <cell r="B95" t="str">
            <v>https://i.ibb.co/d0ZdTL7F/1.jpg|https://i.ibb.co/DD7d3pX9/2.jpg|https://i.ibb.co/pv5g4sMx/3.jpg|https://i.ibb.co/N2sZCPTD/4.jpg</v>
          </cell>
        </row>
        <row r="96">
          <cell r="A96" t="str">
            <v>ID3518</v>
          </cell>
          <cell r="B96" t="str">
            <v>https://i.ibb.co/gMCCN4rS/1.jpg|https://i.ibb.co/TMqLThc0/2.jpg|https://i.ibb.co/ymKTZnN9/3.jpg|https://i.ibb.co/3mk8KKsJ/4.jpg</v>
          </cell>
        </row>
        <row r="97">
          <cell r="A97" t="str">
            <v>IE0872</v>
          </cell>
          <cell r="B97" t="str">
            <v>https://i.ibb.co/8DZMwD1M/1.jpg|https://i.ibb.co/q3nQZm3s/2.jpg|https://i.ibb.co/RGVGfQHV/3.jpg|https://i.ibb.co/8LGGGr95/4.jpg</v>
          </cell>
        </row>
        <row r="98">
          <cell r="A98" t="str">
            <v>IE1417</v>
          </cell>
          <cell r="B98" t="str">
            <v>https://i.ibb.co/S4h8cW9q/1-1.jpg|https://i.ibb.co/YBt9kZ0Z/2.jpg|https://i.ibb.co/0jfVcSgm/3.jpg|https://i.ibb.co/C5yw3zRt/4.jpg</v>
          </cell>
        </row>
        <row r="99">
          <cell r="A99" t="str">
            <v>IE3402</v>
          </cell>
          <cell r="B99" t="str">
            <v>https://i.ibb.co/QFQJjJB2/1-1.jpg</v>
          </cell>
        </row>
        <row r="100">
          <cell r="A100" t="str">
            <v>IE3425</v>
          </cell>
          <cell r="B100" t="str">
            <v>https://i.ibb.co/nMPsJBz0/1-1.jpg|https://i.ibb.co/1p30hpY/2.jpg|https://i.ibb.co/xSdz9QYm/3.jpg|https://i.ibb.co/xK8hD9kc/4.jpg</v>
          </cell>
        </row>
        <row r="101">
          <cell r="A101" t="str">
            <v>IE3437</v>
          </cell>
          <cell r="B101" t="str">
            <v>https://i.ibb.co/qLCZH5m3/1-1.jpg|https://i.ibb.co/35xbXP5M/2.jpg|https://i.ibb.co/4ZZzDHZv/3.jpg|https://i.ibb.co/qbhTNYp/4.jpg</v>
          </cell>
        </row>
        <row r="102">
          <cell r="A102" t="str">
            <v>IE3691</v>
          </cell>
          <cell r="B102" t="str">
            <v>https://i.ibb.co/V03T59Zt/1.jpg|https://i.ibb.co/N2gtrWYK/2.jpg|https://i.ibb.co/8Lbb7MdR/3.jpg|https://i.ibb.co/j9Hjw5xp/4.jpg</v>
          </cell>
        </row>
        <row r="103">
          <cell r="A103" t="str">
            <v>IE3693</v>
          </cell>
          <cell r="B103" t="str">
            <v>https://i.ibb.co/5JCTzcn/1.jpg</v>
          </cell>
        </row>
        <row r="104">
          <cell r="A104" t="str">
            <v>IE5836</v>
          </cell>
          <cell r="B104" t="str">
            <v>https://i.ibb.co/pjnKNx17/1.jpg|https://i.ibb.co/cKZ6f140/2.jpg|https://i.ibb.co/MxYxVPx7/3.jpg|https://i.ibb.co/5h2t5jWM/4.jpg</v>
          </cell>
        </row>
        <row r="105">
          <cell r="A105" t="str">
            <v>IE5894</v>
          </cell>
          <cell r="B105" t="str">
            <v>https://i.ibb.co/qMTC9fGW/1.jpg|https://i.ibb.co/v4TwSLVZ/2-1.jpg|https://i.ibb.co/rGgTyvx1/3.jpg|https://i.ibb.co/8DWn0cjJ/4.jpg</v>
          </cell>
        </row>
        <row r="106">
          <cell r="A106" t="str">
            <v>IE6975</v>
          </cell>
          <cell r="B106" t="str">
            <v>https://i.ibb.co/HT4Myg9w/1.jpg|https://i.ibb.co/rKpgY6hV/2.jpg|https://i.ibb.co/nsHj6w7M/3.jpg|https://i.ibb.co/PZjvdqyB/4.jpg</v>
          </cell>
        </row>
        <row r="107">
          <cell r="A107" t="str">
            <v>IE7002</v>
          </cell>
          <cell r="B107" t="str">
            <v>https://i.ibb.co/XrmBVZfg/1.jpg|https://i.ibb.co/F4tFSCsM/2.jpg|https://i.ibb.co/7x2rn3TV/3.jpg|https://i.ibb.co/8D5KXGZt/4.jpg</v>
          </cell>
        </row>
        <row r="108">
          <cell r="A108" t="str">
            <v>IE7096</v>
          </cell>
          <cell r="B108" t="str">
            <v>https://i.ibb.co/czXw1V0/1.jpg</v>
          </cell>
        </row>
        <row r="109">
          <cell r="A109" t="str">
            <v>IF1807</v>
          </cell>
          <cell r="B109" t="str">
            <v>https://i.ibb.co/5hc6kxHJ/1-7f4793f1-e994-43d2-b714-dc3aefaaf03b-540x.jpg</v>
          </cell>
        </row>
        <row r="110">
          <cell r="A110" t="str">
            <v>IF1809</v>
          </cell>
          <cell r="B110" t="str">
            <v>https://i.ibb.co/hJqhNYxd/1-1.jpg</v>
          </cell>
        </row>
        <row r="111">
          <cell r="A111" t="str">
            <v>IF3233</v>
          </cell>
          <cell r="B111" t="str">
            <v>https://i.ibb.co/Dj4Pzh9/1-1.jpg|https://i.ibb.co/ym5GJ20j/2.jpg|https://i.ibb.co/cS4wWy6C/3.jpg|https://i.ibb.co/1tdVvv49/4.jpg</v>
          </cell>
        </row>
        <row r="112">
          <cell r="A112" t="str">
            <v>IF3813</v>
          </cell>
          <cell r="B112" t="str">
            <v>https://i.ibb.co/3yfgdfd2/1.jpg|https://i.ibb.co/jsSSW0m/2.jpg|https://i.ibb.co/fVHBYNLJ/3.jpg|https://i.ibb.co/zWdfTyXP/4.jpg</v>
          </cell>
        </row>
        <row r="113">
          <cell r="A113" t="str">
            <v>IF4397</v>
          </cell>
          <cell r="B113" t="str">
            <v>https://i.ibb.co/fVy9QwF4/1-1.jpg|https://i.ibb.co/27KTJ6Y5/2.jpg|https://i.ibb.co/ksyknyrL/3.jpg|https://i.ibb.co/rKGsgwg1/4.jpg</v>
          </cell>
        </row>
        <row r="114">
          <cell r="A114" t="str">
            <v>IF4398</v>
          </cell>
          <cell r="B114" t="str">
            <v>https://i.ibb.co/YTqpL08T/1.jpg|https://i.ibb.co/PvBwFn1W/2.jpg|https://i.ibb.co/fYVynz11/3.jpg|https://i.ibb.co/YBhJbhFk/4.jpg</v>
          </cell>
        </row>
        <row r="115">
          <cell r="A115" t="str">
            <v>IF4491</v>
          </cell>
          <cell r="B115" t="str">
            <v>https://i.ibb.co/0p4W2ZQF/1-1.jpg|https://i.ibb.co/rRfZ8HWN/2.jpg|https://i.ibb.co/Pvc4zWft/3.jpg|https://i.ibb.co/NcrjyJT/4.jpg</v>
          </cell>
        </row>
        <row r="116">
          <cell r="A116" t="str">
            <v>IF5660</v>
          </cell>
          <cell r="B116" t="str">
            <v>https://i.ibb.co/gbHftkTB/1-1.jpg|https://i.ibb.co/5tqNFrx/2.jpg|https://i.ibb.co/LhPJtCf8/3.jpg|https://i.ibb.co/wFyZ7Nzc/4.jpg</v>
          </cell>
        </row>
        <row r="117">
          <cell r="A117" t="str">
            <v>IF5661</v>
          </cell>
          <cell r="B117" t="str">
            <v>https://i.ibb.co/fYhB00Tj/1.jpg|https://i.ibb.co/sJKgRHnn/2.jpg|https://i.ibb.co/fzryf1wB/3.jpg|https://i.ibb.co/204BQHjt/4.jpg</v>
          </cell>
        </row>
        <row r="118">
          <cell r="A118" t="str">
            <v>IF6561</v>
          </cell>
          <cell r="B118" t="str">
            <v>https://i.ibb.co/czC3dZN/1.jpg</v>
          </cell>
        </row>
        <row r="119">
          <cell r="A119" t="str">
            <v>IF8914</v>
          </cell>
          <cell r="B119" t="str">
            <v>https://i.ibb.co/ghjNZp9/1.jpg</v>
          </cell>
        </row>
        <row r="120">
          <cell r="A120" t="str">
            <v>IG0671</v>
          </cell>
          <cell r="B120" t="str">
            <v>https://i.ibb.co/gFD3ns0R/1.jpg|https://i.ibb.co/F4fDWkyC/2.jpg|https://i.ibb.co/gZ6ysT8t/3.jpg|https://i.ibb.co/wNk6xhDk/4.jpg</v>
          </cell>
        </row>
        <row r="121">
          <cell r="A121" t="str">
            <v>IG1024</v>
          </cell>
          <cell r="B121" t="str">
            <v>https://i.ibb.co/M4C7wvF/1-1.jpg|https://i.ibb.co/MDkJvnKs/2.jpg|https://i.ibb.co/5h81CF5t/3.jpg|https://i.ibb.co/GyHVGDf/4.jpg</v>
          </cell>
        </row>
        <row r="122">
          <cell r="A122" t="str">
            <v>IG1357</v>
          </cell>
          <cell r="B122" t="str">
            <v>https://i.ibb.co/d04TC9Lh/1-1.jpg|https://i.ibb.co/DPDNHTrQ/2.jpg|https://i.ibb.co/rT1c94x/3.jpg|https://i.ibb.co/3mH41P5Y/4.jpg</v>
          </cell>
        </row>
        <row r="123">
          <cell r="A123" t="str">
            <v>IG4198</v>
          </cell>
          <cell r="B123" t="str">
            <v>https://i.ibb.co/tM7PbLd1/1.jpg|https://i.ibb.co/XfQwwHsr/2.jpg|https://i.ibb.co/gMF9dq2V/3.jpg|https://i.ibb.co/NgBTMVGT/4.jpg</v>
          </cell>
        </row>
        <row r="124">
          <cell r="A124" t="str">
            <v>IG5929</v>
          </cell>
          <cell r="B124" t="str">
            <v>https://i.ibb.co/1tS80vWw/1.jpg|https://i.ibb.co/FqWSN2sx/2.jpg|https://i.ibb.co/3V0whNk/3.jpg|https://i.ibb.co/zCwbRGP/4.jpg</v>
          </cell>
        </row>
        <row r="125">
          <cell r="A125" t="str">
            <v>IH2148</v>
          </cell>
          <cell r="B125" t="str">
            <v>https://i.ibb.co/qbRcBhQ/1.jpg|https://i.ibb.co/qY5LgV61/2.jpg|https://i.ibb.co/4ZpkG58q/3.jpg|https://i.ibb.co/m5NhLNC0/4.jpg</v>
          </cell>
        </row>
        <row r="126">
          <cell r="A126" t="str">
            <v>IH2610</v>
          </cell>
          <cell r="B126" t="str">
            <v>https://i.ibb.co/B2P4wpSv/1-1.jpg|https://i.ibb.co/Y4v05bQP/2.jpg|https://i.ibb.co/9HQzyVqH/3.jpg|https://i.ibb.co/sv5M8XMJ/4.jpg</v>
          </cell>
        </row>
        <row r="127">
          <cell r="A127" t="str">
            <v>IH2612</v>
          </cell>
          <cell r="B127" t="str">
            <v>https://i.ibb.co/mggFwmF/1.jpg|https://i.ibb.co/TD8gW8rk/2.jpg|https://i.ibb.co/b5sgQVL9/3.jpg|https://i.ibb.co/VpS1QWqd/4.jpg</v>
          </cell>
        </row>
        <row r="128">
          <cell r="A128" t="str">
            <v>IH3261</v>
          </cell>
          <cell r="B128" t="str">
            <v>https://i.ibb.co/1fd3hB87/1-1.jpg</v>
          </cell>
        </row>
        <row r="129">
          <cell r="A129" t="str">
            <v>IH5483</v>
          </cell>
          <cell r="B129" t="str">
            <v>https://i.ibb.co/SDS9RDDQ/1-1.jpg|https://i.ibb.co/JM58Mqf/2.jpg|https://i.ibb.co/XxHCzShW/3.jpg|https://i.ibb.co/B5XZm5G9/4.jpg</v>
          </cell>
        </row>
        <row r="130">
          <cell r="A130" t="str">
            <v>IH5484</v>
          </cell>
          <cell r="B130" t="str">
            <v>https://i.ibb.co/h1tyYMss/1-1.jpg|https://i.ibb.co/RkL9hGGS/2.jpg|https://i.ibb.co/VY8L8DHN/3.jpg|https://i.ibb.co/mfcGYxK/4.jpg</v>
          </cell>
        </row>
        <row r="131">
          <cell r="A131" t="str">
            <v>IH7756</v>
          </cell>
          <cell r="B131" t="str">
            <v>https://i.ibb.co/PGPyLHMy/1.jpg|https://i.ibb.co/Psf54951/2.jpg|https://i.ibb.co/k60MLB6r/3.jpg|https://i.ibb.co/Kpgn7WjF/4.jpg</v>
          </cell>
        </row>
        <row r="132">
          <cell r="A132" t="str">
            <v>IH8338</v>
          </cell>
          <cell r="B132" t="str">
            <v>https://i.ibb.co/wFg8DBpJ/1.jpg|https://i.ibb.co/PvT07JwJ/2.jpg|https://i.ibb.co/pB1PKYnH/3.jpg|https://i.ibb.co/1tj561D4/4.jpg</v>
          </cell>
        </row>
        <row r="133">
          <cell r="A133" t="str">
            <v>JP5671</v>
          </cell>
          <cell r="B133" t="str">
            <v>https://i.ibb.co/1tyVTZsh/1.jpg</v>
          </cell>
        </row>
        <row r="134">
          <cell r="A134" t="str">
            <v>JQ4747</v>
          </cell>
          <cell r="B134" t="str">
            <v>https://i.ibb.co/23gLtCvP/1.jpg|https://i.ibb.co/XZZJPKFn/2.jpg|https://i.ibb.co/m5cRfL7p/3.jpg|https://i.ibb.co/VcLyS1Cz/4.jpg</v>
          </cell>
        </row>
        <row r="135">
          <cell r="A135" t="str">
            <v>JQ4748</v>
          </cell>
          <cell r="B135" t="str">
            <v>https://i.ibb.co/B2hTFkq9/1-1.jpg</v>
          </cell>
        </row>
        <row r="136">
          <cell r="A136" t="str">
            <v>JQ4749</v>
          </cell>
          <cell r="B136" t="str">
            <v>https://i.ibb.co/7xw4qWb4/1.jpg</v>
          </cell>
        </row>
        <row r="137">
          <cell r="A137" t="str">
            <v>JS2777</v>
          </cell>
          <cell r="B137" t="str">
            <v>https://i.ibb.co/Q7VdTB6X/1.jpg</v>
          </cell>
        </row>
        <row r="138">
          <cell r="A138" t="str">
            <v>JS2778</v>
          </cell>
          <cell r="B138" t="str">
            <v>https://i.ibb.co/tMtjtV34/1-1.jpg</v>
          </cell>
        </row>
        <row r="139">
          <cell r="A139" t="str">
            <v>M1906DA</v>
          </cell>
          <cell r="B139" t="str">
            <v>https://i.ibb.co/KpTR5C9k/1-1.jpg|https://i.ibb.co/SDKv5t7x/2.jpg|https://i.ibb.co/KxgmWzFb/3.jpg|https://i.ibb.co/fVM4S7zt/4.jpg</v>
          </cell>
        </row>
        <row r="140">
          <cell r="A140" t="str">
            <v>M1906DF</v>
          </cell>
          <cell r="B140" t="str">
            <v>https://i.ibb.co/ynsj5nbN/1-1.jpg|https://i.ibb.co/h12fcv40/2.jpg|https://i.ibb.co/WvyzQ1Gz/3.jpg|https://i.ibb.co/xSKqvWps/4.jpg</v>
          </cell>
        </row>
        <row r="141">
          <cell r="A141" t="str">
            <v>M1906RCA</v>
          </cell>
          <cell r="B141" t="str">
            <v>https://i.ibb.co/29XGFwF/1.jpg|https://i.ibb.co/gZvWZz5V/2.jpg|https://i.ibb.co/21L9tYRS/3.jpg|https://i.ibb.co/Ps9dfZfN/4.jpg</v>
          </cell>
        </row>
        <row r="142">
          <cell r="A142" t="str">
            <v>M1906RCB</v>
          </cell>
          <cell r="B142" t="str">
            <v>https://i.ibb.co/tTKxCdsH/1-1.jpg|https://i.ibb.co/5gZHq1Mm/2.jpg|https://i.ibb.co/3y0hgRCL/3.jpg|https://i.ibb.co/mC3jkdqX/4.jpg</v>
          </cell>
        </row>
        <row r="143">
          <cell r="A143" t="str">
            <v>M1906RP</v>
          </cell>
          <cell r="B143" t="str">
            <v>https://i.ibb.co/zTnqQYwc/1-1.jpg</v>
          </cell>
        </row>
        <row r="144">
          <cell r="A144" t="str">
            <v>M1906RQ</v>
          </cell>
          <cell r="B144" t="str">
            <v>https://i.ibb.co/G4bWsRzh/1-1.jpg|https://i.ibb.co/j9tv4kXW/2.jpg|https://i.ibb.co/mrFMRXNy/3.jpg|https://i.ibb.co/TMR2mmXd/4.jpg</v>
          </cell>
        </row>
        <row r="145">
          <cell r="A145" t="str">
            <v>M1906RW</v>
          </cell>
          <cell r="B145" t="str">
            <v>https://i.ibb.co/7tqNWrxv/1.jpg|https://i.ibb.co/GfFXSgVh/2.jpg|https://i.ibb.co/rRDqV74Q/3.jpg|https://i.ibb.co/6hXbb4n/4.jpg</v>
          </cell>
        </row>
        <row r="146">
          <cell r="A146" t="str">
            <v>M2002RDA</v>
          </cell>
          <cell r="B146" t="str">
            <v>https://i.ibb.co/W4LW153B/1-1.jpg|https://i.ibb.co/DDNWzNRz/2.jpg|https://i.ibb.co/M5M1JS10/3.jpg|https://i.ibb.co/LdY7tVBV/4.jpg</v>
          </cell>
        </row>
        <row r="147">
          <cell r="A147" t="str">
            <v>M2002RDA (Future)</v>
          </cell>
          <cell r="B147" t="str">
            <v>https://i.ibb.co/7x5P9nTP/m2002rdm-gry-01.jpg</v>
          </cell>
        </row>
        <row r="148">
          <cell r="A148" t="str">
            <v>M2002RDB</v>
          </cell>
          <cell r="B148" t="str">
            <v>https://i.ibb.co/DgRQygs6/1.jpg|https://i.ibb.co/k62FWtrg/2.jpg|https://i.ibb.co/yFsn61fZ/3.jpg|https://i.ibb.co/TQ5p1jJ/4.jpg</v>
          </cell>
        </row>
        <row r="149">
          <cell r="A149" t="str">
            <v>M2002RDK</v>
          </cell>
          <cell r="B149" t="str">
            <v>https://i.ibb.co/27XHvwGR/1-1.jpg|https://i.ibb.co/dwfg5zMh/2.jpg|https://i.ibb.co/RGj56Lxs/3.jpg|https://i.ibb.co/gMYHcxXd/4.jpg</v>
          </cell>
        </row>
        <row r="150">
          <cell r="A150" t="str">
            <v>MR530AB</v>
          </cell>
          <cell r="B150" t="str">
            <v>https://i.ibb.co/LddMpNzY/1-1.jpg|https://i.ibb.co/LddMpNzY/1-1.jpg</v>
          </cell>
        </row>
        <row r="151">
          <cell r="A151" t="str">
            <v>MR530AD</v>
          </cell>
          <cell r="B151" t="str">
            <v>https://i.ibb.co/4wKV8NY1/1-1.jpg|https://i.ibb.co/vCmtcQ9n/2.jpg|https://i.ibb.co/fJBrkTV/3.jpg|https://i.ibb.co/GfDCmjh4/4.jpg</v>
          </cell>
        </row>
        <row r="152">
          <cell r="A152" t="str">
            <v>MR530SG</v>
          </cell>
          <cell r="B152" t="str">
            <v>https://i.ibb.co/nM7zHs53/71n-L9n-P0n-DL-AC-UY900.jpg</v>
          </cell>
        </row>
        <row r="153">
          <cell r="A153" t="str">
            <v>THL7C2-9399</v>
          </cell>
          <cell r="B153" t="str">
            <v>https://i.ibb.co/vCDtBwZw/1.jpg</v>
          </cell>
        </row>
        <row r="154">
          <cell r="A154" t="str">
            <v>U9060GRY</v>
          </cell>
          <cell r="B154" t="str">
            <v>https://i.ibb.co/gFvNWGbk/1.jpg|https://i.ibb.co/xqNfPWM0/2.jpg|https://i.ibb.co/zVK4PQcB/3.jpg|https://i.ibb.co/nsNvRKLG/4.jpg</v>
          </cell>
        </row>
        <row r="155">
          <cell r="A155" t="str">
            <v>U9060HSP</v>
          </cell>
          <cell r="B155" t="str">
            <v>https://i.ibb.co/bgxdxzhT/1-1.jpg|https://i.ibb.co/fdmWVyrT/2.jpg|https://i.ibb.co/PZJ6XK1Z/3.jpg|https://i.ibb.co/9m4xFhtb/4.jpg</v>
          </cell>
        </row>
        <row r="156">
          <cell r="A156" t="str">
            <v>U9060MUS</v>
          </cell>
          <cell r="B156" t="str">
            <v>https://i.ibb.co/jPvbtCBv/1.jpg|https://i.ibb.co/vnnjx29/2.jpg|https://i.ibb.co/VWX4tcxQ/3.jpg|https://i.ibb.co/bkwSMCn/4.jpg</v>
          </cell>
        </row>
        <row r="157">
          <cell r="A157" t="str">
            <v>U9060SG</v>
          </cell>
          <cell r="B157" t="str">
            <v>https://i.ibb.co/KpYDsdVq/1-1.jpg</v>
          </cell>
        </row>
        <row r="158">
          <cell r="A158" t="str">
            <v>YZYPODBLK</v>
          </cell>
          <cell r="B158" t="str">
            <v>https://i.ibb.co/nMXtNr3M/1-1.jpg</v>
          </cell>
        </row>
        <row r="159">
          <cell r="A159" t="str">
            <v>CD0461-001</v>
          </cell>
          <cell r="B159" t="str">
            <v>https://i.ibb.co/v4gBjQNX/CD0461-001.jpg</v>
          </cell>
        </row>
        <row r="160">
          <cell r="A160" t="str">
            <v>BB550HL1</v>
          </cell>
          <cell r="B160" t="str">
            <v>https://i.ibb.co/6RszhgnW/1.jpg</v>
          </cell>
        </row>
        <row r="161">
          <cell r="A161" t="str">
            <v>BB550WT1</v>
          </cell>
          <cell r="B161" t="str">
            <v>https://i.ibb.co/QF1q4LG6/1.jpg</v>
          </cell>
        </row>
        <row r="162">
          <cell r="A162" t="str">
            <v>CD0461-001</v>
          </cell>
          <cell r="B162" t="str">
            <v>https://i.ibb.co/YCkfQJ1/1.jpg</v>
          </cell>
        </row>
        <row r="163">
          <cell r="A163" t="str">
            <v>DD1869-101</v>
          </cell>
          <cell r="B163" t="str">
            <v>https://i.ibb.co/4R7yhkb9/1-1.jpg</v>
          </cell>
        </row>
        <row r="164">
          <cell r="A164" t="str">
            <v>DD1869-107</v>
          </cell>
          <cell r="B164" t="str">
            <v>https://i.ibb.co/GfpgQNXF/1.jpg|https://i.ibb.co/HfVRxXgw/2.jpg|https://i.ibb.co/gM7RRdDS/3.jpg|https://i.ibb.co/NgWVgPJK/4.jpg</v>
          </cell>
        </row>
        <row r="165">
          <cell r="A165" t="str">
            <v>DV0982-100</v>
          </cell>
          <cell r="B165" t="str">
            <v>https://i.ibb.co/20p9yfKB/1-1.jpg|https://i.ibb.co/zTKtY2sG/3.jpg</v>
          </cell>
        </row>
        <row r="166">
          <cell r="A166" t="str">
            <v>GY7924</v>
          </cell>
          <cell r="B166" t="str">
            <v>https://i.ibb.co/yB5cL2Sn/1-1.jpg</v>
          </cell>
        </row>
      </sheetData>
      <sheetData sheetId="4">
        <row r="2">
          <cell r="A2">
            <v>35</v>
          </cell>
          <cell r="B2">
            <v>34</v>
          </cell>
          <cell r="C2">
            <v>4.5</v>
          </cell>
          <cell r="D2">
            <v>21.5</v>
          </cell>
        </row>
        <row r="3">
          <cell r="A3">
            <v>35.5</v>
          </cell>
          <cell r="B3">
            <v>34.5</v>
          </cell>
          <cell r="C3">
            <v>5</v>
          </cell>
          <cell r="D3">
            <v>22</v>
          </cell>
        </row>
        <row r="4">
          <cell r="A4">
            <v>36</v>
          </cell>
          <cell r="B4">
            <v>35</v>
          </cell>
          <cell r="C4">
            <v>5.5</v>
          </cell>
          <cell r="D4">
            <v>22.5</v>
          </cell>
        </row>
        <row r="5">
          <cell r="A5">
            <v>36.5</v>
          </cell>
          <cell r="B5">
            <v>35.5</v>
          </cell>
          <cell r="C5">
            <v>6</v>
          </cell>
          <cell r="D5">
            <v>22.7</v>
          </cell>
        </row>
        <row r="6">
          <cell r="A6">
            <v>37</v>
          </cell>
          <cell r="B6">
            <v>36</v>
          </cell>
          <cell r="C6">
            <v>6.5</v>
          </cell>
          <cell r="D6">
            <v>23</v>
          </cell>
        </row>
        <row r="7">
          <cell r="A7">
            <v>37.5</v>
          </cell>
          <cell r="B7">
            <v>36.5</v>
          </cell>
          <cell r="C7" t="str">
            <v>6,5-7</v>
          </cell>
          <cell r="D7">
            <v>23.3</v>
          </cell>
        </row>
        <row r="8">
          <cell r="A8">
            <v>38</v>
          </cell>
          <cell r="B8">
            <v>37</v>
          </cell>
          <cell r="C8">
            <v>7</v>
          </cell>
          <cell r="D8">
            <v>23.5</v>
          </cell>
        </row>
        <row r="9">
          <cell r="A9">
            <v>38.5</v>
          </cell>
          <cell r="B9">
            <v>37.5</v>
          </cell>
          <cell r="C9">
            <v>7.5</v>
          </cell>
          <cell r="D9">
            <v>24</v>
          </cell>
        </row>
        <row r="10">
          <cell r="A10">
            <v>39</v>
          </cell>
          <cell r="B10">
            <v>38</v>
          </cell>
          <cell r="C10">
            <v>8</v>
          </cell>
          <cell r="D10">
            <v>24.5</v>
          </cell>
        </row>
        <row r="11">
          <cell r="A11">
            <v>39.5</v>
          </cell>
          <cell r="B11">
            <v>38.5</v>
          </cell>
          <cell r="C11" t="str">
            <v>8-8,5</v>
          </cell>
          <cell r="D11">
            <v>24.7</v>
          </cell>
        </row>
        <row r="12">
          <cell r="A12">
            <v>40</v>
          </cell>
          <cell r="B12">
            <v>39</v>
          </cell>
          <cell r="C12">
            <v>8.5</v>
          </cell>
          <cell r="D12">
            <v>25</v>
          </cell>
        </row>
        <row r="13">
          <cell r="A13">
            <v>40.5</v>
          </cell>
          <cell r="B13">
            <v>39.5</v>
          </cell>
          <cell r="C13">
            <v>9</v>
          </cell>
          <cell r="D13">
            <v>25.3</v>
          </cell>
        </row>
        <row r="14">
          <cell r="A14">
            <v>41</v>
          </cell>
          <cell r="B14">
            <v>40</v>
          </cell>
          <cell r="C14">
            <v>9.5</v>
          </cell>
          <cell r="D14">
            <v>25.5</v>
          </cell>
        </row>
        <row r="15">
          <cell r="A15">
            <v>41.5</v>
          </cell>
          <cell r="B15">
            <v>40.5</v>
          </cell>
          <cell r="C15" t="str">
            <v>8-8,5</v>
          </cell>
          <cell r="D15">
            <v>26</v>
          </cell>
        </row>
        <row r="16">
          <cell r="A16">
            <v>42</v>
          </cell>
          <cell r="B16">
            <v>41</v>
          </cell>
          <cell r="C16">
            <v>8.5</v>
          </cell>
          <cell r="D16">
            <v>26.3</v>
          </cell>
        </row>
        <row r="17">
          <cell r="A17">
            <v>42.5</v>
          </cell>
          <cell r="B17">
            <v>41.5</v>
          </cell>
          <cell r="C17">
            <v>9</v>
          </cell>
          <cell r="D17">
            <v>26.7</v>
          </cell>
        </row>
        <row r="18">
          <cell r="A18">
            <v>43</v>
          </cell>
          <cell r="B18">
            <v>42</v>
          </cell>
          <cell r="C18">
            <v>9.5</v>
          </cell>
          <cell r="D18">
            <v>27</v>
          </cell>
        </row>
        <row r="19">
          <cell r="A19">
            <v>43.5</v>
          </cell>
          <cell r="B19">
            <v>42.5</v>
          </cell>
          <cell r="C19" t="str">
            <v>9,5-10</v>
          </cell>
          <cell r="D19">
            <v>27.3</v>
          </cell>
        </row>
        <row r="20">
          <cell r="A20">
            <v>44</v>
          </cell>
          <cell r="B20">
            <v>43</v>
          </cell>
          <cell r="C20">
            <v>10</v>
          </cell>
          <cell r="D20">
            <v>27.7</v>
          </cell>
        </row>
        <row r="21">
          <cell r="A21">
            <v>44.5</v>
          </cell>
          <cell r="B21">
            <v>43.5</v>
          </cell>
          <cell r="C21">
            <v>10.5</v>
          </cell>
          <cell r="D21">
            <v>28</v>
          </cell>
        </row>
        <row r="22">
          <cell r="A22">
            <v>45</v>
          </cell>
          <cell r="B22">
            <v>44</v>
          </cell>
          <cell r="C22">
            <v>11</v>
          </cell>
          <cell r="D22">
            <v>28.3</v>
          </cell>
        </row>
        <row r="23">
          <cell r="A23">
            <v>45.5</v>
          </cell>
          <cell r="B23">
            <v>44.5</v>
          </cell>
          <cell r="C23">
            <v>11.5</v>
          </cell>
          <cell r="D23">
            <v>28.7</v>
          </cell>
        </row>
        <row r="24">
          <cell r="A24">
            <v>46</v>
          </cell>
          <cell r="B24">
            <v>45</v>
          </cell>
          <cell r="C24">
            <v>12</v>
          </cell>
          <cell r="D24">
            <v>29</v>
          </cell>
        </row>
        <row r="25">
          <cell r="A25">
            <v>46.5</v>
          </cell>
          <cell r="B25">
            <v>45.5</v>
          </cell>
          <cell r="C25" t="str">
            <v>12-12,5</v>
          </cell>
          <cell r="D25">
            <v>29.3</v>
          </cell>
        </row>
        <row r="26">
          <cell r="A26">
            <v>47</v>
          </cell>
          <cell r="B26">
            <v>46</v>
          </cell>
          <cell r="C26">
            <v>12.5</v>
          </cell>
          <cell r="D26">
            <v>29.7</v>
          </cell>
        </row>
        <row r="27">
          <cell r="A27">
            <v>47.5</v>
          </cell>
          <cell r="B27">
            <v>46.5</v>
          </cell>
          <cell r="C27">
            <v>13</v>
          </cell>
          <cell r="D27">
            <v>30</v>
          </cell>
        </row>
        <row r="28">
          <cell r="A28">
            <v>48</v>
          </cell>
          <cell r="B28">
            <v>47</v>
          </cell>
          <cell r="C28">
            <v>13.5</v>
          </cell>
          <cell r="D28">
            <v>30.5</v>
          </cell>
        </row>
        <row r="29">
          <cell r="A29">
            <v>48.5</v>
          </cell>
          <cell r="B29">
            <v>47.5</v>
          </cell>
          <cell r="C29">
            <v>14</v>
          </cell>
          <cell r="D29">
            <v>30.7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vito.ru/autoload/documentation/templates/100368?fileFormat=excel" TargetMode="External"/><Relationship Id="rId3" Type="http://schemas.openxmlformats.org/officeDocument/2006/relationships/hyperlink" Target="https://www.avito.ru/autoload/documentation/templates/100368?fileFormat=excel" TargetMode="External"/><Relationship Id="rId7" Type="http://schemas.openxmlformats.org/officeDocument/2006/relationships/hyperlink" Target="https://www.avito.ru/autoload/documentation/templates/100368" TargetMode="External"/><Relationship Id="rId12" Type="http://schemas.openxmlformats.org/officeDocument/2006/relationships/hyperlink" Target="https://www.avito.ru/autoload/documentation/templates/100368?fileFormat=excel" TargetMode="External"/><Relationship Id="rId2" Type="http://schemas.openxmlformats.org/officeDocument/2006/relationships/hyperlink" Target="https://www.avito.ru/autoload/documentation/templates/100368" TargetMode="External"/><Relationship Id="rId1" Type="http://schemas.openxmlformats.org/officeDocument/2006/relationships/hyperlink" Target="https://www.avito.ru/autoload/documentation/templates/100368?fileFormat=excel" TargetMode="External"/><Relationship Id="rId6" Type="http://schemas.openxmlformats.org/officeDocument/2006/relationships/hyperlink" Target="https://www.avito.ru/autoload/documentation/templates/100368?fileFormat=excel" TargetMode="External"/><Relationship Id="rId11" Type="http://schemas.openxmlformats.org/officeDocument/2006/relationships/hyperlink" Target="https://www.avito.ru/autoload/documentation/templates/100368?fileFormat=excel" TargetMode="External"/><Relationship Id="rId5" Type="http://schemas.openxmlformats.org/officeDocument/2006/relationships/hyperlink" Target="https://www.avito.ru/autoload/documentation/templates/100368?fileFormat=excel" TargetMode="External"/><Relationship Id="rId10" Type="http://schemas.openxmlformats.org/officeDocument/2006/relationships/hyperlink" Target="https://www.avito.ru/autoload/documentation/templates/100368?fileFormat=excel" TargetMode="External"/><Relationship Id="rId4" Type="http://schemas.openxmlformats.org/officeDocument/2006/relationships/hyperlink" Target="https://www.avito.ru/autoload/documentation/templates/100368?fileFormat=excel" TargetMode="External"/><Relationship Id="rId9" Type="http://schemas.openxmlformats.org/officeDocument/2006/relationships/hyperlink" Target="https://www.avito.ru/autoload/documentation/templates/1003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63C6A-9632-E848-89D2-C93764D71E63}">
  <dimension ref="A1:AB473"/>
  <sheetViews>
    <sheetView tabSelected="1" topLeftCell="L1" workbookViewId="0">
      <selection activeCell="T26" sqref="T26"/>
    </sheetView>
  </sheetViews>
  <sheetFormatPr baseColWidth="10" defaultRowHeight="13" x14ac:dyDescent="0.15"/>
  <cols>
    <col min="1" max="5" width="16" customWidth="1"/>
    <col min="6" max="6" width="51.1640625" customWidth="1"/>
    <col min="7" max="7" width="122.6640625" customWidth="1"/>
    <col min="8" max="22" width="16" customWidth="1"/>
  </cols>
  <sheetData>
    <row r="1" spans="1:28" ht="50" customHeight="1" x14ac:dyDescent="0.15">
      <c r="A1" s="2" t="s">
        <v>0</v>
      </c>
    </row>
    <row r="2" spans="1:28" s="4" customFormat="1" ht="32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/>
      <c r="AA2" s="3"/>
    </row>
    <row r="3" spans="1:28" s="4" customFormat="1" ht="45" customHeight="1" x14ac:dyDescent="0.2">
      <c r="A3" s="4" t="s">
        <v>26</v>
      </c>
      <c r="B3" s="4" t="s">
        <v>27</v>
      </c>
      <c r="C3" s="4" t="s">
        <v>27</v>
      </c>
      <c r="D3" s="4" t="s">
        <v>27</v>
      </c>
      <c r="E3" s="4" t="s">
        <v>26</v>
      </c>
      <c r="F3" s="4" t="s">
        <v>26</v>
      </c>
      <c r="G3" s="4" t="s">
        <v>26</v>
      </c>
      <c r="H3" s="4" t="s">
        <v>27</v>
      </c>
      <c r="I3" s="4" t="s">
        <v>26</v>
      </c>
      <c r="J3" s="4" t="s">
        <v>27</v>
      </c>
      <c r="K3" s="4" t="s">
        <v>26</v>
      </c>
      <c r="L3" s="4" t="s">
        <v>26</v>
      </c>
      <c r="M3" s="4" t="s">
        <v>26</v>
      </c>
      <c r="N3" s="4" t="s">
        <v>26</v>
      </c>
      <c r="O3" s="4" t="s">
        <v>26</v>
      </c>
      <c r="P3" s="4" t="s">
        <v>28</v>
      </c>
      <c r="Q3" s="4" t="s">
        <v>27</v>
      </c>
      <c r="R3" s="4" t="s">
        <v>27</v>
      </c>
      <c r="S3" s="4" t="s">
        <v>27</v>
      </c>
      <c r="T3" s="4" t="s">
        <v>26</v>
      </c>
      <c r="U3" s="4" t="s">
        <v>26</v>
      </c>
    </row>
    <row r="4" spans="1:28" ht="15" x14ac:dyDescent="0.2">
      <c r="A4" s="5" t="s">
        <v>29</v>
      </c>
      <c r="B4" t="s">
        <v>30</v>
      </c>
      <c r="C4" s="5" t="s">
        <v>29</v>
      </c>
      <c r="D4" s="5" t="s">
        <v>29</v>
      </c>
      <c r="E4" s="5" t="s">
        <v>29</v>
      </c>
      <c r="F4" s="5" t="s">
        <v>29</v>
      </c>
      <c r="G4" s="5" t="s">
        <v>29</v>
      </c>
      <c r="H4" s="5" t="s">
        <v>29</v>
      </c>
      <c r="I4" s="5" t="s">
        <v>29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31</v>
      </c>
      <c r="P4" t="s">
        <v>30</v>
      </c>
      <c r="Q4" s="5" t="s">
        <v>29</v>
      </c>
      <c r="R4" t="s">
        <v>32</v>
      </c>
      <c r="S4" t="s">
        <v>30</v>
      </c>
      <c r="T4" t="s">
        <v>30</v>
      </c>
      <c r="U4" t="s">
        <v>30</v>
      </c>
      <c r="AA4" s="5"/>
    </row>
    <row r="5" spans="1:28" x14ac:dyDescent="0.15">
      <c r="A5" s="6">
        <f>'[1]Основной сток'!A2</f>
        <v>1338233</v>
      </c>
      <c r="B5" t="s">
        <v>33</v>
      </c>
      <c r="D5" t="s">
        <v>34</v>
      </c>
      <c r="E5" t="s">
        <v>35</v>
      </c>
      <c r="F5" s="7" t="str">
        <f>PROPER(LEFT('[1]Основной сток'!I2,FIND(CHAR(10),'[1]Основной сток'!I2&amp;CHAR(10))-1))</f>
        <v>Nike Dunk Low Retro Black Hyper Cobalt</v>
      </c>
      <c r="G5" t="str">
        <f>F5 &amp; ", " &amp; '[1]Основной сток'!H2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 &amp; " / RU " &amp;
INDEX('[1]Размерная сетка'!$B$2:$B$40,MATCH('[1]Основной сток'!J2,'[1]Размерная сетка'!$A$2:$A$40,0)) &amp; " / US " &amp;
INDEX('[1]Размерная сетка'!$C$2:$C$40,MATCH('[1]Основной сток'!J2,'[1]Размерная сетка'!$A$2:$A$40,0)) &amp; " / см " &amp;
INDEX('[1]Размерная сетка'!$D$2:$D$40,MATCH('[1]Основной сток'!J2,'[1]Размерная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Retro Black Hyper Cobalt, DD1391-001
• В наличии в Москве
• Оригинал, можно проверить при получении
• Совершенно новые, полный комплект
• Размер: EU 43 / RU 42 / US 9,5 / см 27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5" s="8">
        <f>'[1]Основной сток'!L2</f>
        <v>9000</v>
      </c>
      <c r="I5" s="1" t="str" cm="1">
        <f t="array" ref="I5">VLOOKUP(INDEX('[1]Основной сток'!H:H,ROW()-3),[1]Фотки!A:B,2,FALSE)</f>
        <v>https://i.ibb.co/RtyzMvw/1-1.jpg</v>
      </c>
      <c r="J5" t="s">
        <v>36</v>
      </c>
      <c r="K5" t="s">
        <v>37</v>
      </c>
      <c r="L5" t="str">
        <f>IF(U5&lt;=40,"Женская обувь","Мужская обувь")</f>
        <v>Мужская обувь</v>
      </c>
      <c r="M5" t="s">
        <v>38</v>
      </c>
      <c r="N5" t="s">
        <v>39</v>
      </c>
      <c r="O5" t="str">
        <f>PROPER('[1]Основной сток'!F2)</f>
        <v>Nike</v>
      </c>
      <c r="P5" t="str">
        <f>'[1]Основной сток'!M2</f>
        <v>Синий</v>
      </c>
      <c r="Q5" t="s">
        <v>40</v>
      </c>
      <c r="R5" t="s">
        <v>41</v>
      </c>
      <c r="S5" t="s">
        <v>42</v>
      </c>
      <c r="T5" t="str">
        <f>IF(L5="Мужская обувь","Кроссовки","Кроссовки и кеды")</f>
        <v>Кроссовки</v>
      </c>
      <c r="U5">
        <f>'[1]Основной сток'!J2 - 1</f>
        <v>42</v>
      </c>
      <c r="V5" t="s">
        <v>43</v>
      </c>
      <c r="X5" t="s">
        <v>44</v>
      </c>
      <c r="Y5" t="s">
        <v>45</v>
      </c>
      <c r="AB5" s="9"/>
    </row>
    <row r="6" spans="1:28" x14ac:dyDescent="0.15">
      <c r="A6" s="6">
        <f>'[1]Основной сток'!A3</f>
        <v>1342231</v>
      </c>
      <c r="B6" t="s">
        <v>33</v>
      </c>
      <c r="D6" t="s">
        <v>34</v>
      </c>
      <c r="E6" t="s">
        <v>35</v>
      </c>
      <c r="F6" s="7" t="str">
        <f>PROPER(LEFT('[1]Основной сток'!I3,FIND(CHAR(10),'[1]Основной сток'!I3&amp;CHAR(10))-1))</f>
        <v>Jordan 1 Mid Light Smoke Grey (Gs)</v>
      </c>
      <c r="G6" t="str">
        <f>F6 &amp; ", " &amp; '[1]Основной сток'!H3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 &amp; " / RU " &amp;
INDEX('[1]Размерная сетка'!$B$2:$B$40,MATCH('[1]Основной сток'!J3,'[1]Размерная сетка'!$A$2:$A$40,0)) &amp; " / US " &amp;
INDEX('[1]Размерная сетка'!$C$2:$C$40,MATCH('[1]Основной сток'!J3,'[1]Размерная сетка'!$A$2:$A$40,0)) &amp; " / см " &amp;
INDEX('[1]Размерная сетка'!$D$2:$D$40,MATCH('[1]Основной сток'!J3,'[1]Размерная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Mid Light Smoke Grey (Gs), 554725-078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6" s="8">
        <f>'[1]Основной сток'!L3</f>
        <v>13900</v>
      </c>
      <c r="I6" s="1" t="str" cm="1">
        <f t="array" ref="I6">VLOOKUP(INDEX('[1]Основной сток'!H:H,ROW()-3),[1]Фотки!A:B,2,FALSE)</f>
        <v>https://i.ibb.co/97jv6VD/1.jpg</v>
      </c>
      <c r="J6" t="s">
        <v>36</v>
      </c>
      <c r="K6" t="s">
        <v>37</v>
      </c>
      <c r="L6" t="str">
        <f t="shared" ref="L6:L69" si="0">IF(U6&lt;=40,"Женская обувь","Мужская обувь")</f>
        <v>Женская обувь</v>
      </c>
      <c r="M6" t="s">
        <v>38</v>
      </c>
      <c r="N6" t="s">
        <v>39</v>
      </c>
      <c r="O6" t="str">
        <f>PROPER('[1]Основной сток'!F3)</f>
        <v>Jordan</v>
      </c>
      <c r="P6" t="str">
        <f>'[1]Основной сток'!M3</f>
        <v>Серый</v>
      </c>
      <c r="Q6" t="s">
        <v>46</v>
      </c>
      <c r="R6" t="s">
        <v>41</v>
      </c>
      <c r="S6" t="s">
        <v>42</v>
      </c>
      <c r="T6" t="str">
        <f>IF(L6="Мужская обувь","Кроссовки","Кроссовки и кеды")</f>
        <v>Кроссовки и кеды</v>
      </c>
      <c r="U6">
        <f>'[1]Основной сток'!J3 - 1</f>
        <v>37.5</v>
      </c>
      <c r="V6" t="s">
        <v>43</v>
      </c>
      <c r="X6" t="s">
        <v>44</v>
      </c>
      <c r="Y6" t="s">
        <v>45</v>
      </c>
    </row>
    <row r="7" spans="1:28" x14ac:dyDescent="0.15">
      <c r="A7" s="6">
        <f>'[1]Основной сток'!A4</f>
        <v>1342235</v>
      </c>
      <c r="B7" t="s">
        <v>33</v>
      </c>
      <c r="D7" t="s">
        <v>34</v>
      </c>
      <c r="E7" t="s">
        <v>35</v>
      </c>
      <c r="F7" s="7" t="str">
        <f>PROPER(LEFT('[1]Основной сток'!I4,FIND(CHAR(10),'[1]Основной сток'!I4&amp;CHAR(10))-1))</f>
        <v>Jordan 1 Retro High Og Brotherhood</v>
      </c>
      <c r="G7" t="str">
        <f>F7 &amp; ", " &amp; '[1]Основной сток'!H4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сток'!J4 &amp; " / RU " &amp;
INDEX('[1]Размерная сетка'!$B$2:$B$40,MATCH('[1]Основной сток'!J4,'[1]Размерная сетка'!$A$2:$A$40,0)) &amp; " / US " &amp;
INDEX('[1]Размерная сетка'!$C$2:$C$40,MATCH('[1]Основной сток'!J4,'[1]Размерная сетка'!$A$2:$A$40,0)) &amp; " / см " &amp;
INDEX('[1]Размерная сетка'!$D$2:$D$40,MATCH('[1]Основной сток'!J4,'[1]Размерная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Retro High Og Brotherhood, 555088-706
• В наличии в Москве
• Оригинал, можно проверить при получении
• Совершенно новые, полный комплект
• Размер: EU 45,5 / RU 44,5 / US 11,5 / см 28,7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7" s="8">
        <f>'[1]Основной сток'!L4</f>
        <v>13000</v>
      </c>
      <c r="I7" s="1" t="str" cm="1">
        <f t="array" ref="I7">VLOOKUP(INDEX('[1]Основной сток'!H:H,ROW()-3),[1]Фотки!A:B,2,FALSE)</f>
        <v>https://i.ibb.co/GmTzTmR/1.jpg|https://i.ibb.co/1ftfc8bw/2.jpg|https://i.ibb.co/VGfs7w9/3.jpg|https://i.ibb.co/LDhjyWKt/4.jpg</v>
      </c>
      <c r="J7" t="s">
        <v>36</v>
      </c>
      <c r="K7" t="s">
        <v>37</v>
      </c>
      <c r="L7" t="str">
        <f t="shared" si="0"/>
        <v>Мужская обувь</v>
      </c>
      <c r="M7" t="s">
        <v>38</v>
      </c>
      <c r="N7" t="s">
        <v>39</v>
      </c>
      <c r="O7" t="str">
        <f>PROPER('[1]Основной сток'!F4)</f>
        <v>Jordan</v>
      </c>
      <c r="P7" t="str">
        <f>'[1]Основной сток'!M4</f>
        <v>Желтый</v>
      </c>
      <c r="R7" t="s">
        <v>41</v>
      </c>
      <c r="S7" t="s">
        <v>42</v>
      </c>
      <c r="T7" t="str">
        <f t="shared" ref="T7:T70" si="1">IF(L7="Мужская обувь","Кроссовки","Кроссовки и кеды")</f>
        <v>Кроссовки</v>
      </c>
      <c r="U7">
        <f>'[1]Основной сток'!J4 - 1</f>
        <v>44.5</v>
      </c>
      <c r="V7" t="s">
        <v>43</v>
      </c>
      <c r="X7" t="s">
        <v>44</v>
      </c>
      <c r="Y7" t="s">
        <v>45</v>
      </c>
    </row>
    <row r="8" spans="1:28" x14ac:dyDescent="0.15">
      <c r="A8" s="6">
        <f>'[1]Основной сток'!A5</f>
        <v>1342237</v>
      </c>
      <c r="B8" t="s">
        <v>33</v>
      </c>
      <c r="D8" t="s">
        <v>34</v>
      </c>
      <c r="E8" t="s">
        <v>35</v>
      </c>
      <c r="F8" s="7" t="str">
        <f>PROPER(LEFT('[1]Основной сток'!I5,FIND(CHAR(10),'[1]Основной сток'!I5&amp;CHAR(10))-1))</f>
        <v>Jordan 1 Retro High Og Brotherhood (Gs)</v>
      </c>
      <c r="G8" t="str">
        <f>F8 &amp; ", " &amp; '[1]Основной сток'!H5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сток'!J5 &amp; " / RU " &amp;
INDEX('[1]Размерная сетка'!$B$2:$B$40,MATCH('[1]Основной сток'!J5,'[1]Размерная сетка'!$A$2:$A$40,0)) &amp; " / US " &amp;
INDEX('[1]Размерная сетка'!$C$2:$C$40,MATCH('[1]Основной сток'!J5,'[1]Размерная сетка'!$A$2:$A$40,0)) &amp; " / см " &amp;
INDEX('[1]Размерная сетка'!$D$2:$D$40,MATCH('[1]Основной сток'!J5,'[1]Размерная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Retro High Og Brotherhood (Gs), 575441-706
• В наличии в Москве
• Оригинал, можно проверить при получении
• Совершенно новые, полный комплект
• Размер: EU 36,5 / RU 35,5 / US 6 / см 22,7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8" s="8">
        <f>'[1]Основной сток'!L5</f>
        <v>11900</v>
      </c>
      <c r="I8" s="1" t="str" cm="1">
        <f t="array" ref="I8">VLOOKUP(INDEX('[1]Основной сток'!H:H,ROW()-3),[1]Фотки!A:B,2,FALSE)</f>
        <v>https://i.ibb.co/GmTzTmR/1.jpg|https://i.ibb.co/1ftfc8bw/2.jpg|https://i.ibb.co/VGfs7w9/3.jpg|https://i.ibb.co/LDhjyWKt/4.jpg</v>
      </c>
      <c r="J8" t="s">
        <v>36</v>
      </c>
      <c r="K8" t="s">
        <v>37</v>
      </c>
      <c r="L8" t="str">
        <f t="shared" si="0"/>
        <v>Женская обувь</v>
      </c>
      <c r="M8" t="s">
        <v>38</v>
      </c>
      <c r="N8" t="s">
        <v>39</v>
      </c>
      <c r="O8" t="str">
        <f>PROPER('[1]Основной сток'!F5)</f>
        <v>Jordan</v>
      </c>
      <c r="P8" t="str">
        <f>'[1]Основной сток'!M5</f>
        <v>Желтый</v>
      </c>
      <c r="R8" t="s">
        <v>41</v>
      </c>
      <c r="S8" t="s">
        <v>42</v>
      </c>
      <c r="T8" t="str">
        <f t="shared" si="1"/>
        <v>Кроссовки и кеды</v>
      </c>
      <c r="U8">
        <f>'[1]Основной сток'!J5 - 1</f>
        <v>35.5</v>
      </c>
      <c r="V8" t="s">
        <v>43</v>
      </c>
      <c r="X8" t="s">
        <v>44</v>
      </c>
      <c r="Y8" t="s">
        <v>45</v>
      </c>
    </row>
    <row r="9" spans="1:28" x14ac:dyDescent="0.15">
      <c r="A9" s="6">
        <f>'[1]Основной сток'!A6</f>
        <v>1342243</v>
      </c>
      <c r="B9" t="s">
        <v>33</v>
      </c>
      <c r="D9" t="s">
        <v>34</v>
      </c>
      <c r="E9" t="s">
        <v>35</v>
      </c>
      <c r="F9" s="7" t="str">
        <f>PROPER(LEFT('[1]Основной сток'!I6,FIND(CHAR(10),'[1]Основной сток'!I6&amp;CHAR(10))-1))</f>
        <v>Jordan 1 Mid Wolf Grey Aluminum (W)</v>
      </c>
      <c r="G9" t="str">
        <f>F9 &amp; ", " &amp; '[1]Основной сток'!H6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сток'!J6 &amp; " / RU " &amp;
INDEX('[1]Размерная сетка'!$B$2:$B$40,MATCH('[1]Основной сток'!J6,'[1]Размерная сетка'!$A$2:$A$40,0)) &amp; " / US " &amp;
INDEX('[1]Размерная сетка'!$C$2:$C$40,MATCH('[1]Основной сток'!J6,'[1]Размерная сетка'!$A$2:$A$40,0)) &amp; " / см " &amp;
INDEX('[1]Размерная сетка'!$D$2:$D$40,MATCH('[1]Основной сток'!J6,'[1]Размерная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Mid Wolf Grey Aluminum (W), BQ6472-105
• В наличии в Москве
• Оригинал, можно проверить при получении
• Совершенно новые, полный комплект
• Размер: EU 36,5 / RU 35,5 / US 6 / см 22,7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9" s="8">
        <f>'[1]Основной сток'!L6</f>
        <v>13000</v>
      </c>
      <c r="I9" s="1" t="str" cm="1">
        <f t="array" ref="I9">VLOOKUP(INDEX('[1]Основной сток'!H:H,ROW()-3),[1]Фотки!A:B,2,FALSE)</f>
        <v>https://i.ibb.co/Q7NPYXDQ/1-1.jpg|https://i.ibb.co/QFSwP6Bh/2.jpg|https://i.ibb.co/qLN13WhF/3.jpg|https://i.ibb.co/G3t7VY73/4.jpg</v>
      </c>
      <c r="J9" t="s">
        <v>36</v>
      </c>
      <c r="K9" t="s">
        <v>37</v>
      </c>
      <c r="L9" t="str">
        <f t="shared" si="0"/>
        <v>Женская обувь</v>
      </c>
      <c r="M9" t="s">
        <v>38</v>
      </c>
      <c r="N9" t="s">
        <v>39</v>
      </c>
      <c r="O9" t="str">
        <f>PROPER('[1]Основной сток'!F6)</f>
        <v>Jordan</v>
      </c>
      <c r="P9" t="str">
        <f>'[1]Основной сток'!M6</f>
        <v>Серый</v>
      </c>
      <c r="R9" t="s">
        <v>41</v>
      </c>
      <c r="S9" t="s">
        <v>42</v>
      </c>
      <c r="T9" t="str">
        <f t="shared" si="1"/>
        <v>Кроссовки и кеды</v>
      </c>
      <c r="U9">
        <f>'[1]Основной сток'!J6 - 1</f>
        <v>35.5</v>
      </c>
      <c r="V9" t="s">
        <v>43</v>
      </c>
      <c r="X9" t="s">
        <v>44</v>
      </c>
      <c r="Y9" t="s">
        <v>45</v>
      </c>
    </row>
    <row r="10" spans="1:28" x14ac:dyDescent="0.15">
      <c r="A10" s="6">
        <f>'[1]Основной сток'!A7</f>
        <v>1342244</v>
      </c>
      <c r="B10" t="s">
        <v>33</v>
      </c>
      <c r="D10" t="s">
        <v>34</v>
      </c>
      <c r="E10" t="s">
        <v>35</v>
      </c>
      <c r="F10" s="7" t="str">
        <f>PROPER(LEFT('[1]Основной сток'!I7,FIND(CHAR(10),'[1]Основной сток'!I7&amp;CHAR(10))-1))</f>
        <v>Jordan 1 Mid Wolf Grey Aluminum (W)</v>
      </c>
      <c r="G10" t="str">
        <f>F10 &amp; ", " &amp; '[1]Основной сток'!H7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сток'!J7 &amp; " / RU " &amp;
INDEX('[1]Размерная сетка'!$B$2:$B$40,MATCH('[1]Основной сток'!J7,'[1]Размерная сетка'!$A$2:$A$40,0)) &amp; " / US " &amp;
INDEX('[1]Размерная сетка'!$C$2:$C$40,MATCH('[1]Основной сток'!J7,'[1]Размерная сетка'!$A$2:$A$40,0)) &amp; " / см " &amp;
INDEX('[1]Размерная сетка'!$D$2:$D$40,MATCH('[1]Основной сток'!J7,'[1]Размерная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Mid Wolf Grey Aluminum (W), BQ6472-105
• В наличии в Москве
• Оригинал, можно проверить при получении
• Совершенно новые, полный комплект
• Размер: EU 37,5 / RU 36,5 / US 6,5-7 / см 23,3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0" s="8">
        <f>'[1]Основной сток'!L7</f>
        <v>13000</v>
      </c>
      <c r="I10" s="1" t="str" cm="1">
        <f t="array" ref="I10">VLOOKUP(INDEX('[1]Основной сток'!H:H,ROW()-3),[1]Фотки!A:B,2,FALSE)</f>
        <v>https://i.ibb.co/Q7NPYXDQ/1-1.jpg|https://i.ibb.co/QFSwP6Bh/2.jpg|https://i.ibb.co/qLN13WhF/3.jpg|https://i.ibb.co/G3t7VY73/4.jpg</v>
      </c>
      <c r="J10" t="s">
        <v>36</v>
      </c>
      <c r="K10" t="s">
        <v>37</v>
      </c>
      <c r="L10" t="str">
        <f t="shared" si="0"/>
        <v>Женская обувь</v>
      </c>
      <c r="M10" t="s">
        <v>38</v>
      </c>
      <c r="N10" t="s">
        <v>39</v>
      </c>
      <c r="O10" t="str">
        <f>PROPER('[1]Основной сток'!F7)</f>
        <v>Jordan</v>
      </c>
      <c r="P10" t="str">
        <f>'[1]Основной сток'!M7</f>
        <v>Серый</v>
      </c>
      <c r="R10" t="s">
        <v>41</v>
      </c>
      <c r="S10" t="s">
        <v>42</v>
      </c>
      <c r="T10" t="str">
        <f t="shared" si="1"/>
        <v>Кроссовки и кеды</v>
      </c>
      <c r="U10">
        <f>'[1]Основной сток'!J7 - 1</f>
        <v>36.5</v>
      </c>
      <c r="V10" t="s">
        <v>43</v>
      </c>
      <c r="X10" t="s">
        <v>44</v>
      </c>
      <c r="Y10" t="s">
        <v>45</v>
      </c>
    </row>
    <row r="11" spans="1:28" x14ac:dyDescent="0.15">
      <c r="A11" s="6">
        <f>'[1]Основной сток'!A8</f>
        <v>1342253</v>
      </c>
      <c r="B11" t="s">
        <v>33</v>
      </c>
      <c r="D11" t="s">
        <v>34</v>
      </c>
      <c r="E11" t="s">
        <v>35</v>
      </c>
      <c r="F11" s="7" t="str">
        <f>PROPER(LEFT('[1]Основной сток'!I8,FIND(CHAR(10),'[1]Основной сток'!I8&amp;CHAR(10))-1))</f>
        <v>Jordan 1 Mid Burgundy Dusty Pink</v>
      </c>
      <c r="G11" t="str">
        <f>F11 &amp; ", " &amp; '[1]Основной сток'!H8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сток'!J8 &amp; " / RU " &amp;
INDEX('[1]Размерная сетка'!$B$2:$B$40,MATCH('[1]Основной сток'!J8,'[1]Размерная сетка'!$A$2:$A$40,0)) &amp; " / US " &amp;
INDEX('[1]Размерная сетка'!$C$2:$C$40,MATCH('[1]Основной сток'!J8,'[1]Размерная сетка'!$A$2:$A$40,0)) &amp; " / см " &amp;
INDEX('[1]Размерная сетка'!$D$2:$D$40,MATCH('[1]Основной сток'!J8,'[1]Размерная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Mid Burgundy Dusty Pink, BQ6472-202
• В наличии в Москве
• Оригинал, можно проверить при получении
• Совершенно новые, полный комплект
• Размер: EU 36,5 / RU 35,5 / US 6 / см 22,7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1" s="8">
        <f>'[1]Основной сток'!L8</f>
        <v>8900</v>
      </c>
      <c r="I11" s="1" t="str" cm="1">
        <f t="array" ref="I11">VLOOKUP(INDEX('[1]Основной сток'!H:H,ROW()-3),[1]Фотки!A:B,2,FALSE)</f>
        <v>https://i.ibb.co/BHgDYfkS/1.jpg</v>
      </c>
      <c r="J11" t="s">
        <v>36</v>
      </c>
      <c r="K11" t="s">
        <v>37</v>
      </c>
      <c r="L11" t="str">
        <f t="shared" si="0"/>
        <v>Женская обувь</v>
      </c>
      <c r="M11" t="s">
        <v>38</v>
      </c>
      <c r="N11" t="s">
        <v>39</v>
      </c>
      <c r="O11" t="str">
        <f>PROPER('[1]Основной сток'!F8)</f>
        <v>Jordan</v>
      </c>
      <c r="P11" t="str">
        <f>'[1]Основной сток'!M8</f>
        <v>Розовый</v>
      </c>
      <c r="R11" t="s">
        <v>41</v>
      </c>
      <c r="S11" t="s">
        <v>42</v>
      </c>
      <c r="T11" t="str">
        <f t="shared" si="1"/>
        <v>Кроссовки и кеды</v>
      </c>
      <c r="U11">
        <f>'[1]Основной сток'!J8 - 1</f>
        <v>35.5</v>
      </c>
      <c r="V11" t="s">
        <v>43</v>
      </c>
      <c r="X11" t="s">
        <v>44</v>
      </c>
      <c r="Y11" t="s">
        <v>45</v>
      </c>
    </row>
    <row r="12" spans="1:28" x14ac:dyDescent="0.15">
      <c r="A12" s="6">
        <f>'[1]Основной сток'!A9</f>
        <v>1342266</v>
      </c>
      <c r="B12" t="s">
        <v>33</v>
      </c>
      <c r="D12" t="s">
        <v>34</v>
      </c>
      <c r="E12" t="s">
        <v>35</v>
      </c>
      <c r="F12" s="7" t="str">
        <f>PROPER(LEFT('[1]Основной сток'!I9,FIND(CHAR(10),'[1]Основной сток'!I9&amp;CHAR(10))-1))</f>
        <v>Jordan 1 Retro High Lucky Green (W)</v>
      </c>
      <c r="G12" t="str">
        <f>F12 &amp; ", " &amp; '[1]Основной сток'!H9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сток'!J9 &amp; " / RU " &amp;
INDEX('[1]Размерная сетка'!$B$2:$B$40,MATCH('[1]Основной сток'!J9,'[1]Размерная сетка'!$A$2:$A$40,0)) &amp; " / US " &amp;
INDEX('[1]Размерная сетка'!$C$2:$C$40,MATCH('[1]Основной сток'!J9,'[1]Размерная сетка'!$A$2:$A$40,0)) &amp; " / см " &amp;
INDEX('[1]Размерная сетка'!$D$2:$D$40,MATCH('[1]Основной сток'!J9,'[1]Размерная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Retro High Lucky Green (W), DB4612-300
• В наличии в Москве
• Оригинал, можно проверить при получении
• Совершенно новые, полный комплект
• Размер: EU 36,5 / RU 35,5 / US 6 / см 22,7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2" s="8">
        <f>'[1]Основной сток'!L9</f>
        <v>18000</v>
      </c>
      <c r="I12" s="1" t="str" cm="1">
        <f t="array" ref="I12">VLOOKUP(INDEX('[1]Основной сток'!H:H,ROW()-3),[1]Фотки!A:B,2,FALSE)</f>
        <v>https://i.ibb.co/fLsTwk5/1-1.jpg|https://i.ibb.co/MDxGwbfb/2.jpg|https://i.ibb.co/KcjFTP7w/4.jpg|https://i.ibb.co/0dyFgNB/DB4612-300.jpg</v>
      </c>
      <c r="J12" t="s">
        <v>36</v>
      </c>
      <c r="K12" t="s">
        <v>37</v>
      </c>
      <c r="L12" t="str">
        <f t="shared" si="0"/>
        <v>Женская обувь</v>
      </c>
      <c r="M12" t="s">
        <v>38</v>
      </c>
      <c r="N12" t="s">
        <v>39</v>
      </c>
      <c r="O12" t="str">
        <f>PROPER('[1]Основной сток'!F9)</f>
        <v>Jordan</v>
      </c>
      <c r="P12" t="str">
        <f>'[1]Основной сток'!M9</f>
        <v>Зелёный</v>
      </c>
      <c r="R12" t="s">
        <v>41</v>
      </c>
      <c r="S12" t="s">
        <v>42</v>
      </c>
      <c r="T12" t="str">
        <f t="shared" si="1"/>
        <v>Кроссовки и кеды</v>
      </c>
      <c r="U12">
        <f>'[1]Основной сток'!J9 - 1</f>
        <v>35.5</v>
      </c>
      <c r="V12" t="s">
        <v>43</v>
      </c>
      <c r="X12" t="s">
        <v>44</v>
      </c>
      <c r="Y12" t="s">
        <v>45</v>
      </c>
    </row>
    <row r="13" spans="1:28" x14ac:dyDescent="0.15">
      <c r="A13" s="6">
        <f>'[1]Основной сток'!A10</f>
        <v>1342278</v>
      </c>
      <c r="B13" t="s">
        <v>33</v>
      </c>
      <c r="D13" t="s">
        <v>34</v>
      </c>
      <c r="E13" t="s">
        <v>35</v>
      </c>
      <c r="F13" s="7" t="str">
        <f>PROPER(LEFT('[1]Основной сток'!I10,FIND(CHAR(10),'[1]Основной сток'!I10&amp;CHAR(10))-1))</f>
        <v>Jordan 1 Mid Se Light Mulberry (W)</v>
      </c>
      <c r="G13" t="str">
        <f>F13 &amp; ", " &amp; '[1]Основной сток'!H10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сток'!J10 &amp; " / RU " &amp;
INDEX('[1]Размерная сетка'!$B$2:$B$40,MATCH('[1]Основной сток'!J10,'[1]Размерная сетка'!$A$2:$A$40,0)) &amp; " / US " &amp;
INDEX('[1]Размерная сетка'!$C$2:$C$40,MATCH('[1]Основной сток'!J10,'[1]Размерная сетка'!$A$2:$A$40,0)) &amp; " / см " &amp;
INDEX('[1]Размерная сетка'!$D$2:$D$40,MATCH('[1]Основной сток'!J10,'[1]Размерная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Mid Se Light Mulberry (W), DC7267-500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3" s="8">
        <f>'[1]Основной сток'!L10</f>
        <v>13000</v>
      </c>
      <c r="I13" s="1" t="str" cm="1">
        <f t="array" ref="I13">VLOOKUP(INDEX('[1]Основной сток'!H:H,ROW()-3),[1]Фотки!A:B,2,FALSE)</f>
        <v>https://i.ibb.co/rRHj48Tx/1.jpg</v>
      </c>
      <c r="J13" t="s">
        <v>36</v>
      </c>
      <c r="K13" t="s">
        <v>37</v>
      </c>
      <c r="L13" t="str">
        <f t="shared" si="0"/>
        <v>Женская обувь</v>
      </c>
      <c r="M13" t="s">
        <v>38</v>
      </c>
      <c r="N13" t="s">
        <v>39</v>
      </c>
      <c r="O13" t="str">
        <f>PROPER('[1]Основной сток'!F10)</f>
        <v>Jordan</v>
      </c>
      <c r="P13" t="str">
        <f>'[1]Основной сток'!M10</f>
        <v>Розовый</v>
      </c>
      <c r="R13" t="s">
        <v>41</v>
      </c>
      <c r="S13" t="s">
        <v>42</v>
      </c>
      <c r="T13" t="str">
        <f t="shared" si="1"/>
        <v>Кроссовки и кеды</v>
      </c>
      <c r="U13">
        <f>'[1]Основной сток'!J10 - 1</f>
        <v>38</v>
      </c>
      <c r="V13" t="s">
        <v>43</v>
      </c>
      <c r="X13" t="s">
        <v>44</v>
      </c>
      <c r="Y13" t="s">
        <v>45</v>
      </c>
    </row>
    <row r="14" spans="1:28" x14ac:dyDescent="0.15">
      <c r="A14" s="6">
        <f>'[1]Основной сток'!A11</f>
        <v>1342280</v>
      </c>
      <c r="B14" t="s">
        <v>33</v>
      </c>
      <c r="D14" t="s">
        <v>34</v>
      </c>
      <c r="E14" t="s">
        <v>35</v>
      </c>
      <c r="F14" s="7" t="str">
        <f>PROPER(LEFT('[1]Основной сток'!I11,FIND(CHAR(10),'[1]Основной сток'!I11&amp;CHAR(10))-1))</f>
        <v>Jordan 1 Mid Se Light Mulberry (W)</v>
      </c>
      <c r="G14" t="str">
        <f>F14 &amp; ", " &amp; '[1]Основной сток'!H11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сток'!J11 &amp; " / RU " &amp;
INDEX('[1]Размерная сетка'!$B$2:$B$40,MATCH('[1]Основной сток'!J11,'[1]Размерная сетка'!$A$2:$A$40,0)) &amp; " / US " &amp;
INDEX('[1]Размерная сетка'!$C$2:$C$40,MATCH('[1]Основной сток'!J11,'[1]Размерная сетка'!$A$2:$A$40,0)) &amp; " / см " &amp;
INDEX('[1]Размерная сетка'!$D$2:$D$40,MATCH('[1]Основной сток'!J11,'[1]Размерная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Mid Se Light Mulberry (W), DC7267-500
• В наличии в Москве
• Оригинал, можно проверить при получении
• Совершенно новые, полный комплект
• Размер: EU 40,5 / RU 39,5 / US 9 / см 25,3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4" s="8">
        <f>'[1]Основной сток'!L11</f>
        <v>13000</v>
      </c>
      <c r="I14" s="1" t="str" cm="1">
        <f t="array" ref="I14">VLOOKUP(INDEX('[1]Основной сток'!H:H,ROW()-3),[1]Фотки!A:B,2,FALSE)</f>
        <v>https://i.ibb.co/rRHj48Tx/1.jpg</v>
      </c>
      <c r="J14" t="s">
        <v>36</v>
      </c>
      <c r="K14" t="s">
        <v>37</v>
      </c>
      <c r="L14" t="str">
        <f t="shared" si="0"/>
        <v>Женская обувь</v>
      </c>
      <c r="M14" t="s">
        <v>38</v>
      </c>
      <c r="N14" t="s">
        <v>39</v>
      </c>
      <c r="O14" t="str">
        <f>PROPER('[1]Основной сток'!F11)</f>
        <v>Jordan</v>
      </c>
      <c r="P14" t="str">
        <f>'[1]Основной сток'!M11</f>
        <v>Розовый</v>
      </c>
      <c r="R14" t="s">
        <v>41</v>
      </c>
      <c r="S14" t="s">
        <v>42</v>
      </c>
      <c r="T14" t="str">
        <f t="shared" si="1"/>
        <v>Кроссовки и кеды</v>
      </c>
      <c r="U14">
        <f>'[1]Основной сток'!J11 - 1</f>
        <v>39.5</v>
      </c>
      <c r="V14" t="s">
        <v>43</v>
      </c>
      <c r="X14" t="s">
        <v>44</v>
      </c>
      <c r="Y14" t="s">
        <v>45</v>
      </c>
    </row>
    <row r="15" spans="1:28" x14ac:dyDescent="0.15">
      <c r="A15" s="6">
        <f>'[1]Основной сток'!A12</f>
        <v>1342283</v>
      </c>
      <c r="B15" t="s">
        <v>33</v>
      </c>
      <c r="D15" t="s">
        <v>34</v>
      </c>
      <c r="E15" t="s">
        <v>35</v>
      </c>
      <c r="F15" s="7" t="str">
        <f>PROPER(LEFT('[1]Основной сток'!I12,FIND(CHAR(10),'[1]Основной сток'!I12&amp;CHAR(10))-1))</f>
        <v>Jordan 1 Mid Se Arctic Pink (Gs)</v>
      </c>
      <c r="G15" t="str">
        <f>F15 &amp; ", " &amp; '[1]Основной сток'!H12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сток'!J12 &amp; " / RU " &amp;
INDEX('[1]Размерная сетка'!$B$2:$B$40,MATCH('[1]Основной сток'!J12,'[1]Размерная сетка'!$A$2:$A$40,0)) &amp; " / US " &amp;
INDEX('[1]Размерная сетка'!$C$2:$C$40,MATCH('[1]Основной сток'!J12,'[1]Размерная сетка'!$A$2:$A$40,0)) &amp; " / см " &amp;
INDEX('[1]Размерная сетка'!$D$2:$D$40,MATCH('[1]Основной сток'!J12,'[1]Размерная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Mid Se Arctic Pink (Gs), DC9617-600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5" s="8">
        <f>'[1]Основной сток'!L12</f>
        <v>12900</v>
      </c>
      <c r="I15" s="1" t="str" cm="1">
        <f t="array" ref="I15">VLOOKUP(INDEX('[1]Основной сток'!H:H,ROW()-3),[1]Фотки!A:B,2,FALSE)</f>
        <v>https://i.ibb.co/cS3p7Lbs/1.jpg</v>
      </c>
      <c r="J15" t="s">
        <v>36</v>
      </c>
      <c r="K15" t="s">
        <v>37</v>
      </c>
      <c r="L15" t="str">
        <f t="shared" si="0"/>
        <v>Женская обувь</v>
      </c>
      <c r="M15" t="s">
        <v>38</v>
      </c>
      <c r="N15" t="s">
        <v>39</v>
      </c>
      <c r="O15" t="str">
        <f>PROPER('[1]Основной сток'!F12)</f>
        <v>Jordan</v>
      </c>
      <c r="P15" t="str">
        <f>'[1]Основной сток'!M12</f>
        <v>Розовый</v>
      </c>
      <c r="R15" t="s">
        <v>41</v>
      </c>
      <c r="S15" t="s">
        <v>42</v>
      </c>
      <c r="T15" t="str">
        <f t="shared" si="1"/>
        <v>Кроссовки и кеды</v>
      </c>
      <c r="U15">
        <f>'[1]Основной сток'!J12 - 1</f>
        <v>37</v>
      </c>
      <c r="V15" t="s">
        <v>43</v>
      </c>
      <c r="X15" t="s">
        <v>44</v>
      </c>
      <c r="Y15" t="s">
        <v>45</v>
      </c>
    </row>
    <row r="16" spans="1:28" x14ac:dyDescent="0.15">
      <c r="A16" s="6">
        <f>'[1]Основной сток'!A13</f>
        <v>1342289</v>
      </c>
      <c r="B16" t="s">
        <v>33</v>
      </c>
      <c r="D16" t="s">
        <v>34</v>
      </c>
      <c r="E16" t="s">
        <v>35</v>
      </c>
      <c r="F16" s="7" t="str">
        <f>PROPER(LEFT('[1]Основной сток'!I13,FIND(CHAR(10),'[1]Основной сток'!I13&amp;CHAR(10))-1))</f>
        <v>Nike Dunk Low Easter 2022 (W)</v>
      </c>
      <c r="G16" t="str">
        <f>F16 &amp; ", " &amp; '[1]Основной сток'!H13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сток'!J13 &amp; " / RU " &amp;
INDEX('[1]Размерная сетка'!$B$2:$B$40,MATCH('[1]Основной сток'!J13,'[1]Размерная сетка'!$A$2:$A$40,0)) &amp; " / US " &amp;
INDEX('[1]Размерная сетка'!$C$2:$C$40,MATCH('[1]Основной сток'!J13,'[1]Размерная сетка'!$A$2:$A$40,0)) &amp; " / см " &amp;
INDEX('[1]Размерная сетка'!$D$2:$D$40,MATCH('[1]Основной сток'!J13,'[1]Размерная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Easter 2022 (W), DD1503-001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6" s="8">
        <f>'[1]Основной сток'!L13</f>
        <v>10000</v>
      </c>
      <c r="I16" s="1" t="str" cm="1">
        <f t="array" ref="I16">VLOOKUP(INDEX('[1]Основной сток'!H:H,ROW()-3),[1]Фотки!A:B,2,FALSE)</f>
        <v>https://i.ibb.co/spL5tx4t/1-1.jpg</v>
      </c>
      <c r="J16" t="s">
        <v>36</v>
      </c>
      <c r="K16" t="s">
        <v>37</v>
      </c>
      <c r="L16" t="str">
        <f t="shared" si="0"/>
        <v>Женская обувь</v>
      </c>
      <c r="M16" t="s">
        <v>38</v>
      </c>
      <c r="N16" t="s">
        <v>39</v>
      </c>
      <c r="O16" t="str">
        <f>PROPER('[1]Основной сток'!F13)</f>
        <v>Nike</v>
      </c>
      <c r="P16" t="str">
        <f>'[1]Основной сток'!M13</f>
        <v>Розовый</v>
      </c>
      <c r="R16" t="s">
        <v>41</v>
      </c>
      <c r="S16" t="s">
        <v>42</v>
      </c>
      <c r="T16" t="str">
        <f t="shared" si="1"/>
        <v>Кроссовки и кеды</v>
      </c>
      <c r="U16">
        <f>'[1]Основной сток'!J13 - 1</f>
        <v>37.5</v>
      </c>
      <c r="V16" t="s">
        <v>43</v>
      </c>
      <c r="X16" t="s">
        <v>44</v>
      </c>
      <c r="Y16" t="s">
        <v>45</v>
      </c>
    </row>
    <row r="17" spans="1:25" x14ac:dyDescent="0.15">
      <c r="A17" s="6">
        <f>'[1]Основной сток'!A14</f>
        <v>1342290</v>
      </c>
      <c r="B17" t="s">
        <v>33</v>
      </c>
      <c r="D17" t="s">
        <v>34</v>
      </c>
      <c r="E17" t="s">
        <v>35</v>
      </c>
      <c r="F17" s="7" t="str">
        <f>PROPER(LEFT('[1]Основной сток'!I14,FIND(CHAR(10),'[1]Основной сток'!I14&amp;CHAR(10))-1))</f>
        <v>Nike Dunk Low Easter 2022 (W)</v>
      </c>
      <c r="G17" t="str">
        <f>F17 &amp; ", " &amp; '[1]Основной сток'!H14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сток'!J14 &amp; " / RU " &amp;
INDEX('[1]Размерная сетка'!$B$2:$B$40,MATCH('[1]Основной сток'!J14,'[1]Размерная сетка'!$A$2:$A$40,0)) &amp; " / US " &amp;
INDEX('[1]Размерная сетка'!$C$2:$C$40,MATCH('[1]Основной сток'!J14,'[1]Размерная сетка'!$A$2:$A$40,0)) &amp; " / см " &amp;
INDEX('[1]Размерная сетка'!$D$2:$D$40,MATCH('[1]Основной сток'!J14,'[1]Размерная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Easter 2022 (W), DD1503-001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7" s="8">
        <f>'[1]Основной сток'!L14</f>
        <v>10000</v>
      </c>
      <c r="I17" s="1" t="str" cm="1">
        <f t="array" ref="I17">VLOOKUP(INDEX('[1]Основной сток'!H:H,ROW()-3),[1]Фотки!A:B,2,FALSE)</f>
        <v>https://i.ibb.co/spL5tx4t/1-1.jpg</v>
      </c>
      <c r="J17" t="s">
        <v>36</v>
      </c>
      <c r="K17" t="s">
        <v>37</v>
      </c>
      <c r="L17" t="str">
        <f t="shared" si="0"/>
        <v>Женская обувь</v>
      </c>
      <c r="M17" t="s">
        <v>38</v>
      </c>
      <c r="N17" t="s">
        <v>39</v>
      </c>
      <c r="O17" t="str">
        <f>PROPER('[1]Основной сток'!F14)</f>
        <v>Nike</v>
      </c>
      <c r="P17" t="str">
        <f>'[1]Основной сток'!M14</f>
        <v>Розовый</v>
      </c>
      <c r="R17" t="s">
        <v>41</v>
      </c>
      <c r="S17" t="s">
        <v>42</v>
      </c>
      <c r="T17" t="str">
        <f t="shared" si="1"/>
        <v>Кроссовки и кеды</v>
      </c>
      <c r="U17">
        <f>'[1]Основной сток'!J14 - 1</f>
        <v>38</v>
      </c>
      <c r="V17" t="s">
        <v>43</v>
      </c>
      <c r="X17" t="s">
        <v>44</v>
      </c>
      <c r="Y17" t="s">
        <v>45</v>
      </c>
    </row>
    <row r="18" spans="1:25" x14ac:dyDescent="0.15">
      <c r="A18" s="6">
        <f>'[1]Основной сток'!A15</f>
        <v>1342310</v>
      </c>
      <c r="B18" t="s">
        <v>33</v>
      </c>
      <c r="D18" t="s">
        <v>34</v>
      </c>
      <c r="E18" t="s">
        <v>35</v>
      </c>
      <c r="F18" s="7" t="str">
        <f>PROPER(LEFT('[1]Основной сток'!I15,FIND(CHAR(10),'[1]Основной сток'!I15&amp;CHAR(10))-1))</f>
        <v>Nike Dunk Low Next Nature White Black (W)</v>
      </c>
      <c r="G18" t="str">
        <f>F18 &amp; ", " &amp; '[1]Основной сток'!H15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сток'!J15 &amp; " / RU " &amp;
INDEX('[1]Размерная сетка'!$B$2:$B$40,MATCH('[1]Основной сток'!J15,'[1]Размерная сетка'!$A$2:$A$40,0)) &amp; " / US " &amp;
INDEX('[1]Размерная сетка'!$C$2:$C$40,MATCH('[1]Основной сток'!J15,'[1]Размерная сетка'!$A$2:$A$40,0)) &amp; " / см " &amp;
INDEX('[1]Размерная сетка'!$D$2:$D$40,MATCH('[1]Основной сток'!J15,'[1]Размерная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Next Nature White Black (W), DD1873-102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8" s="8">
        <f>'[1]Основной сток'!L15</f>
        <v>10000</v>
      </c>
      <c r="I18" s="1" t="str" cm="1">
        <f t="array" ref="I18">VLOOKUP(INDEX('[1]Основной сток'!H:H,ROW()-3),[1]Фотки!A:B,2,FALSE)</f>
        <v>https://i.ibb.co/XZ2qjJ41/1.jpg|https://i.ibb.co/vCDpSzgv/2.jpg|https://i.ibb.co/SXjGXVvm/3.jpg|https://i.ibb.co/XxdGGj8C/4.jpg</v>
      </c>
      <c r="J18" t="s">
        <v>36</v>
      </c>
      <c r="K18" t="s">
        <v>37</v>
      </c>
      <c r="L18" t="str">
        <f t="shared" si="0"/>
        <v>Женская обувь</v>
      </c>
      <c r="M18" t="s">
        <v>38</v>
      </c>
      <c r="N18" t="s">
        <v>39</v>
      </c>
      <c r="O18" t="str">
        <f>PROPER('[1]Основной сток'!F15)</f>
        <v>Nike</v>
      </c>
      <c r="P18" t="str">
        <f>'[1]Основной сток'!M15</f>
        <v>Черный</v>
      </c>
      <c r="R18" t="s">
        <v>41</v>
      </c>
      <c r="S18" t="s">
        <v>42</v>
      </c>
      <c r="T18" t="str">
        <f t="shared" si="1"/>
        <v>Кроссовки и кеды</v>
      </c>
      <c r="U18">
        <f>'[1]Основной сток'!J15 - 1</f>
        <v>37</v>
      </c>
      <c r="V18" t="s">
        <v>43</v>
      </c>
      <c r="X18" t="s">
        <v>44</v>
      </c>
      <c r="Y18" t="s">
        <v>45</v>
      </c>
    </row>
    <row r="19" spans="1:25" x14ac:dyDescent="0.15">
      <c r="A19" s="6">
        <f>'[1]Основной сток'!A16</f>
        <v>1342328</v>
      </c>
      <c r="B19" t="s">
        <v>33</v>
      </c>
      <c r="D19" t="s">
        <v>34</v>
      </c>
      <c r="E19" t="s">
        <v>35</v>
      </c>
      <c r="F19" s="7" t="str">
        <f>PROPER(LEFT('[1]Основной сток'!I16,FIND(CHAR(10),'[1]Основной сток'!I16&amp;CHAR(10))-1))</f>
        <v>Nike Dunk Low Two-Toned Grey (Gs)</v>
      </c>
      <c r="G19" t="str">
        <f>F19 &amp; ", " &amp; '[1]Основной сток'!H16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сток'!J16 &amp; " / RU " &amp;
INDEX('[1]Размерная сетка'!$B$2:$B$40,MATCH('[1]Основной сток'!J16,'[1]Размерная сетка'!$A$2:$A$40,0)) &amp; " / US " &amp;
INDEX('[1]Размерная сетка'!$C$2:$C$40,MATCH('[1]Основной сток'!J16,'[1]Размерная сетка'!$A$2:$A$40,0)) &amp; " / см " &amp;
INDEX('[1]Размерная сетка'!$D$2:$D$40,MATCH('[1]Основной сток'!J16,'[1]Размерная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Two-Toned Grey (Gs), DH9765-001
• В наличии в Москве
• Оригинал, можно проверить при получении
• Совершенно новые, полный комплект
• Размер: EU 36,5 / RU 35,5 / US 6 / см 22,7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9" s="8">
        <f>'[1]Основной сток'!L16</f>
        <v>12000</v>
      </c>
      <c r="I19" s="1" t="str" cm="1">
        <f t="array" ref="I19">VLOOKUP(INDEX('[1]Основной сток'!H:H,ROW()-3),[1]Фотки!A:B,2,FALSE)</f>
        <v>https://i.ibb.co/XkxkQ9jh/1-1.jpg</v>
      </c>
      <c r="J19" t="s">
        <v>36</v>
      </c>
      <c r="K19" t="s">
        <v>37</v>
      </c>
      <c r="L19" t="str">
        <f t="shared" si="0"/>
        <v>Женская обувь</v>
      </c>
      <c r="M19" t="s">
        <v>38</v>
      </c>
      <c r="N19" t="s">
        <v>39</v>
      </c>
      <c r="O19" t="str">
        <f>PROPER('[1]Основной сток'!F16)</f>
        <v>Nike</v>
      </c>
      <c r="P19" t="str">
        <f>'[1]Основной сток'!M16</f>
        <v>Серый</v>
      </c>
      <c r="R19" t="s">
        <v>41</v>
      </c>
      <c r="S19" t="s">
        <v>42</v>
      </c>
      <c r="T19" t="str">
        <f t="shared" si="1"/>
        <v>Кроссовки и кеды</v>
      </c>
      <c r="U19">
        <f>'[1]Основной сток'!J16 - 1</f>
        <v>35.5</v>
      </c>
      <c r="V19" t="s">
        <v>43</v>
      </c>
      <c r="X19" t="s">
        <v>44</v>
      </c>
      <c r="Y19" t="s">
        <v>45</v>
      </c>
    </row>
    <row r="20" spans="1:25" x14ac:dyDescent="0.15">
      <c r="A20" s="6">
        <f>'[1]Основной сток'!A17</f>
        <v>1342329</v>
      </c>
      <c r="B20" t="s">
        <v>33</v>
      </c>
      <c r="D20" t="s">
        <v>34</v>
      </c>
      <c r="E20" t="s">
        <v>35</v>
      </c>
      <c r="F20" s="7" t="str">
        <f>PROPER(LEFT('[1]Основной сток'!I17,FIND(CHAR(10),'[1]Основной сток'!I17&amp;CHAR(10))-1))</f>
        <v>Nike Dunk Low Two-Toned Grey (Gs)</v>
      </c>
      <c r="G20" t="str">
        <f>F20 &amp; ", " &amp; '[1]Основной сток'!H17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сток'!J17 &amp; " / RU " &amp;
INDEX('[1]Размерная сетка'!$B$2:$B$40,MATCH('[1]Основной сток'!J17,'[1]Размерная сетка'!$A$2:$A$40,0)) &amp; " / US " &amp;
INDEX('[1]Размерная сетка'!$C$2:$C$40,MATCH('[1]Основной сток'!J17,'[1]Размерная сетка'!$A$2:$A$40,0)) &amp; " / см " &amp;
INDEX('[1]Размерная сетка'!$D$2:$D$40,MATCH('[1]Основной сток'!J17,'[1]Размерная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Two-Toned Grey (Gs), DH9765-001
• В наличии в Москве
• Оригинал, можно проверить при получении
• Совершенно новые, полный комплект
• Размер: EU 37,5 / RU 36,5 / US 6,5-7 / см 23,3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0" s="8">
        <f>'[1]Основной сток'!L17</f>
        <v>12000</v>
      </c>
      <c r="I20" s="1" t="str" cm="1">
        <f t="array" ref="I20">VLOOKUP(INDEX('[1]Основной сток'!H:H,ROW()-3),[1]Фотки!A:B,2,FALSE)</f>
        <v>https://i.ibb.co/XkxkQ9jh/1-1.jpg</v>
      </c>
      <c r="J20" t="s">
        <v>36</v>
      </c>
      <c r="K20" t="s">
        <v>37</v>
      </c>
      <c r="L20" t="str">
        <f t="shared" si="0"/>
        <v>Женская обувь</v>
      </c>
      <c r="M20" t="s">
        <v>38</v>
      </c>
      <c r="N20" t="s">
        <v>39</v>
      </c>
      <c r="O20" t="str">
        <f>PROPER('[1]Основной сток'!F17)</f>
        <v>Nike</v>
      </c>
      <c r="P20" t="str">
        <f>'[1]Основной сток'!M17</f>
        <v>Серый</v>
      </c>
      <c r="R20" t="s">
        <v>41</v>
      </c>
      <c r="S20" t="s">
        <v>42</v>
      </c>
      <c r="T20" t="str">
        <f t="shared" si="1"/>
        <v>Кроссовки и кеды</v>
      </c>
      <c r="U20">
        <f>'[1]Основной сток'!J17 - 1</f>
        <v>36.5</v>
      </c>
      <c r="V20" t="s">
        <v>43</v>
      </c>
      <c r="X20" t="s">
        <v>44</v>
      </c>
      <c r="Y20" t="s">
        <v>45</v>
      </c>
    </row>
    <row r="21" spans="1:25" x14ac:dyDescent="0.15">
      <c r="A21" s="6">
        <f>'[1]Основной сток'!A18</f>
        <v>1342346</v>
      </c>
      <c r="B21" t="s">
        <v>33</v>
      </c>
      <c r="D21" t="s">
        <v>34</v>
      </c>
      <c r="E21" t="s">
        <v>35</v>
      </c>
      <c r="F21" s="7" t="str">
        <f>PROPER(LEFT('[1]Основной сток'!I18,FIND(CHAR(10),'[1]Основной сток'!I18&amp;CHAR(10))-1))</f>
        <v>Jordan 1 Mid Light Madder Root (Gs)</v>
      </c>
      <c r="G21" t="str">
        <f>F21 &amp; ", " &amp; '[1]Основной сток'!H18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сток'!J18 &amp; " / RU " &amp;
INDEX('[1]Размерная сетка'!$B$2:$B$40,MATCH('[1]Основной сток'!J18,'[1]Размерная сетка'!$A$2:$A$40,0)) &amp; " / US " &amp;
INDEX('[1]Размерная сетка'!$C$2:$C$40,MATCH('[1]Основной сток'!J18,'[1]Размерная сетка'!$A$2:$A$40,0)) &amp; " / см " &amp;
INDEX('[1]Размерная сетка'!$D$2:$D$40,MATCH('[1]Основной сток'!J18,'[1]Размерная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Mid Light Madder Root (Gs), DM9077-108
• В наличии в Москве
• Оригинал, можно проверить при получении
• Совершенно новые, полный комплект
• Размер: EU 37,5 / RU 36,5 / US 6,5-7 / см 23,3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1" s="8">
        <f>'[1]Основной сток'!L18</f>
        <v>9000</v>
      </c>
      <c r="I21" s="1" t="str" cm="1">
        <f t="array" ref="I21">VLOOKUP(INDEX('[1]Основной сток'!H:H,ROW()-3),[1]Фотки!A:B,2,FALSE)</f>
        <v>https://i.ibb.co/gbwz6f1y/1.jpg</v>
      </c>
      <c r="J21" t="s">
        <v>36</v>
      </c>
      <c r="K21" t="s">
        <v>37</v>
      </c>
      <c r="L21" t="str">
        <f t="shared" si="0"/>
        <v>Женская обувь</v>
      </c>
      <c r="M21" t="s">
        <v>38</v>
      </c>
      <c r="N21" t="s">
        <v>39</v>
      </c>
      <c r="O21" t="str">
        <f>PROPER('[1]Основной сток'!F18)</f>
        <v>Jordan</v>
      </c>
      <c r="P21" t="str">
        <f>'[1]Основной сток'!M18</f>
        <v>Розовый</v>
      </c>
      <c r="R21" t="s">
        <v>41</v>
      </c>
      <c r="S21" t="s">
        <v>42</v>
      </c>
      <c r="T21" t="str">
        <f t="shared" si="1"/>
        <v>Кроссовки и кеды</v>
      </c>
      <c r="U21">
        <f>'[1]Основной сток'!J18 - 1</f>
        <v>36.5</v>
      </c>
      <c r="V21" t="s">
        <v>43</v>
      </c>
      <c r="X21" t="s">
        <v>44</v>
      </c>
      <c r="Y21" t="s">
        <v>45</v>
      </c>
    </row>
    <row r="22" spans="1:25" x14ac:dyDescent="0.15">
      <c r="A22" s="6">
        <f>'[1]Основной сток'!A19</f>
        <v>1342348</v>
      </c>
      <c r="B22" t="s">
        <v>33</v>
      </c>
      <c r="D22" t="s">
        <v>34</v>
      </c>
      <c r="E22" t="s">
        <v>35</v>
      </c>
      <c r="F22" s="7" t="str">
        <f>PROPER(LEFT('[1]Основной сток'!I19,FIND(CHAR(10),'[1]Основной сток'!I19&amp;CHAR(10))-1))</f>
        <v>Jordan 1 Mid Light Madder Root (Gs)</v>
      </c>
      <c r="G22" t="str">
        <f>F22 &amp; ", " &amp; '[1]Основной сток'!H19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сток'!J19 &amp; " / RU " &amp;
INDEX('[1]Размерная сетка'!$B$2:$B$40,MATCH('[1]Основной сток'!J19,'[1]Размерная сетка'!$A$2:$A$40,0)) &amp; " / US " &amp;
INDEX('[1]Размерная сетка'!$C$2:$C$40,MATCH('[1]Основной сток'!J19,'[1]Размерная сетка'!$A$2:$A$40,0)) &amp; " / см " &amp;
INDEX('[1]Размерная сетка'!$D$2:$D$40,MATCH('[1]Основной сток'!J19,'[1]Размерная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Mid Light Madder Root (Gs), DM9077-108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2" s="8">
        <f>'[1]Основной сток'!L19</f>
        <v>9000</v>
      </c>
      <c r="I22" s="1" t="str" cm="1">
        <f t="array" ref="I22">VLOOKUP(INDEX('[1]Основной сток'!H:H,ROW()-3),[1]Фотки!A:B,2,FALSE)</f>
        <v>https://i.ibb.co/gbwz6f1y/1.jpg</v>
      </c>
      <c r="J22" t="s">
        <v>36</v>
      </c>
      <c r="K22" t="s">
        <v>37</v>
      </c>
      <c r="L22" t="str">
        <f t="shared" si="0"/>
        <v>Женская обувь</v>
      </c>
      <c r="M22" t="s">
        <v>38</v>
      </c>
      <c r="N22" t="s">
        <v>39</v>
      </c>
      <c r="O22" t="str">
        <f>PROPER('[1]Основной сток'!F19)</f>
        <v>Jordan</v>
      </c>
      <c r="P22" t="str">
        <f>'[1]Основной сток'!M19</f>
        <v>Розовый</v>
      </c>
      <c r="R22" t="s">
        <v>41</v>
      </c>
      <c r="S22" t="s">
        <v>42</v>
      </c>
      <c r="T22" t="str">
        <f t="shared" si="1"/>
        <v>Кроссовки и кеды</v>
      </c>
      <c r="U22">
        <f>'[1]Основной сток'!J19 - 1</f>
        <v>37.5</v>
      </c>
      <c r="V22" t="s">
        <v>43</v>
      </c>
      <c r="X22" t="s">
        <v>44</v>
      </c>
      <c r="Y22" t="s">
        <v>45</v>
      </c>
    </row>
    <row r="23" spans="1:25" x14ac:dyDescent="0.15">
      <c r="A23" s="6">
        <f>'[1]Основной сток'!A20</f>
        <v>1342352</v>
      </c>
      <c r="B23" t="s">
        <v>33</v>
      </c>
      <c r="D23" t="s">
        <v>34</v>
      </c>
      <c r="E23" t="s">
        <v>35</v>
      </c>
      <c r="F23" s="7" t="str">
        <f>PROPER(LEFT('[1]Основной сток'!I20,FIND(CHAR(10),'[1]Основной сток'!I20&amp;CHAR(10))-1))</f>
        <v>Jordan 1 Mid Se Light Iron Ore (W)</v>
      </c>
      <c r="G23" t="str">
        <f>F23 &amp; ", " &amp; '[1]Основной сток'!H20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сток'!J20 &amp; " / RU " &amp;
INDEX('[1]Размерная сетка'!$B$2:$B$40,MATCH('[1]Основной сток'!J20,'[1]Размерная сетка'!$A$2:$A$40,0)) &amp; " / US " &amp;
INDEX('[1]Размерная сетка'!$C$2:$C$40,MATCH('[1]Основной сток'!J20,'[1]Размерная сетка'!$A$2:$A$40,0)) &amp; " / см " &amp;
INDEX('[1]Размерная сетка'!$D$2:$D$40,MATCH('[1]Основной сток'!J20,'[1]Размерная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Mid Se Light Iron Ore (W), DN4045-001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3" s="8">
        <f>'[1]Основной сток'!L20</f>
        <v>12000</v>
      </c>
      <c r="I23" s="1" t="str" cm="1">
        <f t="array" ref="I23">VLOOKUP(INDEX('[1]Основной сток'!H:H,ROW()-3),[1]Фотки!A:B,2,FALSE)</f>
        <v>https://i.ibb.co/XxQgsCbR/1-1.jpg</v>
      </c>
      <c r="J23" t="s">
        <v>36</v>
      </c>
      <c r="K23" t="s">
        <v>37</v>
      </c>
      <c r="L23" t="str">
        <f t="shared" si="0"/>
        <v>Женская обувь</v>
      </c>
      <c r="M23" t="s">
        <v>38</v>
      </c>
      <c r="N23" t="s">
        <v>39</v>
      </c>
      <c r="O23" t="str">
        <f>PROPER('[1]Основной сток'!F20)</f>
        <v>Jordan</v>
      </c>
      <c r="P23" t="str">
        <f>'[1]Основной сток'!M20</f>
        <v>Серый</v>
      </c>
      <c r="R23" t="s">
        <v>41</v>
      </c>
      <c r="S23" t="s">
        <v>42</v>
      </c>
      <c r="T23" t="str">
        <f t="shared" si="1"/>
        <v>Кроссовки и кеды</v>
      </c>
      <c r="U23">
        <f>'[1]Основной сток'!J20 - 1</f>
        <v>38</v>
      </c>
      <c r="V23" t="s">
        <v>43</v>
      </c>
      <c r="X23" t="s">
        <v>44</v>
      </c>
      <c r="Y23" t="s">
        <v>45</v>
      </c>
    </row>
    <row r="24" spans="1:25" x14ac:dyDescent="0.15">
      <c r="A24" s="6">
        <f>'[1]Основной сток'!A21</f>
        <v>1342354</v>
      </c>
      <c r="B24" t="s">
        <v>33</v>
      </c>
      <c r="D24" t="s">
        <v>34</v>
      </c>
      <c r="E24" t="s">
        <v>35</v>
      </c>
      <c r="F24" s="7" t="str">
        <f>PROPER(LEFT('[1]Основной сток'!I21,FIND(CHAR(10),'[1]Основной сток'!I21&amp;CHAR(10))-1))</f>
        <v>Jordan 1 Mid Valentine'S Day (2022) (W)</v>
      </c>
      <c r="G24" t="str">
        <f>F24 &amp; ", " &amp; '[1]Основной сток'!H21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сток'!J21 &amp; " / RU " &amp;
INDEX('[1]Размерная сетка'!$B$2:$B$40,MATCH('[1]Основной сток'!J21,'[1]Размерная сетка'!$A$2:$A$40,0)) &amp; " / US " &amp;
INDEX('[1]Размерная сетка'!$C$2:$C$40,MATCH('[1]Основной сток'!J21,'[1]Размерная сетка'!$A$2:$A$40,0)) &amp; " / см " &amp;
INDEX('[1]Размерная сетка'!$D$2:$D$40,MATCH('[1]Основной сток'!J21,'[1]Размерная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Mid Valentine'S Day (2022) (W), DR0174-500
• В наличии в Москве
• Оригинал, можно проверить при получении
• Совершенно новые, полный комплект
• Размер: EU 36 / RU 35 / US 5,5 / см 22,5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4" s="8">
        <f>'[1]Основной сток'!L21</f>
        <v>11000</v>
      </c>
      <c r="I24" s="1" t="str" cm="1">
        <f t="array" ref="I24">VLOOKUP(INDEX('[1]Основной сток'!H:H,ROW()-3),[1]Фотки!A:B,2,FALSE)</f>
        <v>https://i.ibb.co/VYXxCy3L/1.jpg</v>
      </c>
      <c r="J24" t="s">
        <v>36</v>
      </c>
      <c r="K24" t="s">
        <v>37</v>
      </c>
      <c r="L24" t="str">
        <f t="shared" si="0"/>
        <v>Женская обувь</v>
      </c>
      <c r="M24" t="s">
        <v>38</v>
      </c>
      <c r="N24" t="s">
        <v>39</v>
      </c>
      <c r="O24" t="str">
        <f>PROPER('[1]Основной сток'!F21)</f>
        <v>Jordan</v>
      </c>
      <c r="P24" t="str">
        <f>'[1]Основной сток'!M21</f>
        <v>Розовый</v>
      </c>
      <c r="R24" t="s">
        <v>41</v>
      </c>
      <c r="S24" t="s">
        <v>42</v>
      </c>
      <c r="T24" t="str">
        <f t="shared" si="1"/>
        <v>Кроссовки и кеды</v>
      </c>
      <c r="U24">
        <f>'[1]Основной сток'!J21 - 1</f>
        <v>35</v>
      </c>
      <c r="V24" t="s">
        <v>43</v>
      </c>
      <c r="X24" t="s">
        <v>44</v>
      </c>
      <c r="Y24" t="s">
        <v>45</v>
      </c>
    </row>
    <row r="25" spans="1:25" x14ac:dyDescent="0.15">
      <c r="A25" s="6">
        <f>'[1]Основной сток'!A22</f>
        <v>1342355</v>
      </c>
      <c r="B25" t="s">
        <v>33</v>
      </c>
      <c r="D25" t="s">
        <v>34</v>
      </c>
      <c r="E25" t="s">
        <v>35</v>
      </c>
      <c r="F25" s="7" t="str">
        <f>PROPER(LEFT('[1]Основной сток'!I22,FIND(CHAR(10),'[1]Основной сток'!I22&amp;CHAR(10))-1))</f>
        <v>Jordan 1 Mid Valentine'S Day (2022) (W)</v>
      </c>
      <c r="G25" t="str">
        <f>F25 &amp; ", " &amp; '[1]Основной сток'!H22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сток'!J22 &amp; " / RU " &amp;
INDEX('[1]Размерная сетка'!$B$2:$B$40,MATCH('[1]Основной сток'!J22,'[1]Размерная сетка'!$A$2:$A$40,0)) &amp; " / US " &amp;
INDEX('[1]Размерная сетка'!$C$2:$C$40,MATCH('[1]Основной сток'!J22,'[1]Размерная сетка'!$A$2:$A$40,0)) &amp; " / см " &amp;
INDEX('[1]Размерная сетка'!$D$2:$D$40,MATCH('[1]Основной сток'!J22,'[1]Размерная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Mid Valentine'S Day (2022) (W), DR0174-500
• В наличии в Москве
• Оригинал, можно проверить при получении
• Совершенно новые, полный комплект
• Размер: EU 36,5 / RU 35,5 / US 6 / см 22,7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5" s="8">
        <f>'[1]Основной сток'!L22</f>
        <v>11000</v>
      </c>
      <c r="I25" s="1" t="str" cm="1">
        <f t="array" ref="I25">VLOOKUP(INDEX('[1]Основной сток'!H:H,ROW()-3),[1]Фотки!A:B,2,FALSE)</f>
        <v>https://i.ibb.co/VYXxCy3L/1.jpg</v>
      </c>
      <c r="J25" t="s">
        <v>36</v>
      </c>
      <c r="K25" t="s">
        <v>37</v>
      </c>
      <c r="L25" t="str">
        <f t="shared" si="0"/>
        <v>Женская обувь</v>
      </c>
      <c r="M25" t="s">
        <v>38</v>
      </c>
      <c r="N25" t="s">
        <v>39</v>
      </c>
      <c r="O25" t="str">
        <f>PROPER('[1]Основной сток'!F22)</f>
        <v>Jordan</v>
      </c>
      <c r="P25" t="str">
        <f>'[1]Основной сток'!M22</f>
        <v>Розовый</v>
      </c>
      <c r="R25" t="s">
        <v>41</v>
      </c>
      <c r="S25" t="s">
        <v>42</v>
      </c>
      <c r="T25" t="str">
        <f t="shared" si="1"/>
        <v>Кроссовки и кеды</v>
      </c>
      <c r="U25">
        <f>'[1]Основной сток'!J22 - 1</f>
        <v>35.5</v>
      </c>
      <c r="V25" t="s">
        <v>43</v>
      </c>
      <c r="X25" t="s">
        <v>44</v>
      </c>
      <c r="Y25" t="s">
        <v>45</v>
      </c>
    </row>
    <row r="26" spans="1:25" x14ac:dyDescent="0.15">
      <c r="A26" s="6">
        <f>'[1]Основной сток'!A23</f>
        <v>1342364</v>
      </c>
      <c r="B26" t="s">
        <v>33</v>
      </c>
      <c r="D26" t="s">
        <v>34</v>
      </c>
      <c r="E26" t="s">
        <v>35</v>
      </c>
      <c r="F26" s="7" t="str">
        <f>PROPER(LEFT('[1]Основной сток'!I23,FIND(CHAR(10),'[1]Основной сток'!I23&amp;CHAR(10))-1))</f>
        <v>Jordan 1 Low Se Homage Split White Black (W)</v>
      </c>
      <c r="G26" t="str">
        <f>F26 &amp; ", " &amp; '[1]Основной сток'!H23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сток'!J23 &amp; " / RU " &amp;
INDEX('[1]Размерная сетка'!$B$2:$B$40,MATCH('[1]Основной сток'!J23,'[1]Размерная сетка'!$A$2:$A$40,0)) &amp; " / US " &amp;
INDEX('[1]Размерная сетка'!$C$2:$C$40,MATCH('[1]Основной сток'!J23,'[1]Размерная сетка'!$A$2:$A$40,0)) &amp; " / см " &amp;
INDEX('[1]Размерная сетка'!$D$2:$D$40,MATCH('[1]Основной сток'!J23,'[1]Размерная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Low Se Homage Split White Black (W), DR0502-101
• В наличии в Москве
• Оригинал, можно проверить при получении
• Совершенно новые, полный комплект
• Размер: EU 43 / RU 42 / US 9,5 / см 27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6" s="8">
        <f>'[1]Основной сток'!L23</f>
        <v>10000</v>
      </c>
      <c r="I26" s="1" t="str" cm="1">
        <f t="array" ref="I26">VLOOKUP(INDEX('[1]Основной сток'!H:H,ROW()-3),[1]Фотки!A:B,2,FALSE)</f>
        <v>https://i.ibb.co/hRc0zdRW/1-1.jpg|https://i.ibb.co/39f97ntP/2.jpg|https://i.ibb.co/3m6D5VPB/3.jpg|https://i.ibb.co/0p8X4PBs/4.jpg|https://i.ibb.co/hFZB0SRK/5.jpg|https://i.ibb.co/KcvDHfZj/6.jpg|https://i.ibb.co/wFQP9WMQ/9.jpg</v>
      </c>
      <c r="J26" t="s">
        <v>36</v>
      </c>
      <c r="K26" t="s">
        <v>37</v>
      </c>
      <c r="L26" t="str">
        <f t="shared" si="0"/>
        <v>Мужская обувь</v>
      </c>
      <c r="M26" t="s">
        <v>38</v>
      </c>
      <c r="N26" t="s">
        <v>39</v>
      </c>
      <c r="O26" t="str">
        <f>PROPER('[1]Основной сток'!F23)</f>
        <v>Jordan</v>
      </c>
      <c r="P26" t="str">
        <f>'[1]Основной сток'!M23</f>
        <v>Черный</v>
      </c>
      <c r="R26" t="s">
        <v>41</v>
      </c>
      <c r="S26" t="s">
        <v>42</v>
      </c>
      <c r="T26" t="str">
        <f t="shared" si="1"/>
        <v>Кроссовки</v>
      </c>
      <c r="U26">
        <f>'[1]Основной сток'!J23 - 1</f>
        <v>42</v>
      </c>
      <c r="V26" t="s">
        <v>43</v>
      </c>
      <c r="X26" t="s">
        <v>44</v>
      </c>
      <c r="Y26" t="s">
        <v>45</v>
      </c>
    </row>
    <row r="27" spans="1:25" x14ac:dyDescent="0.15">
      <c r="A27" s="6">
        <f>'[1]Основной сток'!A24</f>
        <v>1354186</v>
      </c>
      <c r="B27" t="s">
        <v>33</v>
      </c>
      <c r="D27" t="s">
        <v>34</v>
      </c>
      <c r="E27" t="s">
        <v>35</v>
      </c>
      <c r="F27" s="7" t="str">
        <f>PROPER(LEFT('[1]Основной сток'!I24,FIND(CHAR(10),'[1]Основной сток'!I24&amp;CHAR(10))-1))</f>
        <v>Jordan 1 Mid Split Black White (W)</v>
      </c>
      <c r="G27" t="str">
        <f>F27 &amp; ", " &amp; '[1]Основной сток'!H24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сток'!J24 &amp; " / RU " &amp;
INDEX('[1]Размерная сетка'!$B$2:$B$40,MATCH('[1]Основной сток'!J24,'[1]Размерная сетка'!$A$2:$A$40,0)) &amp; " / US " &amp;
INDEX('[1]Размерная сетка'!$C$2:$C$40,MATCH('[1]Основной сток'!J24,'[1]Размерная сетка'!$A$2:$A$40,0)) &amp; " / см " &amp;
INDEX('[1]Размерная сетка'!$D$2:$D$40,MATCH('[1]Основной сток'!J24,'[1]Размерная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Mid Split Black White (W), DR0501-101
• В наличии в Москве
• Оригинал, можно проверить при получении
• Совершенно новые, полный комплект
• Размер: EU 40,5 / RU 39,5 / US 9 / см 25,3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7" s="8">
        <f>'[1]Основной сток'!L24</f>
        <v>13000</v>
      </c>
      <c r="I27" s="1" t="str" cm="1">
        <f t="array" ref="I27">VLOOKUP(INDEX('[1]Основной сток'!H:H,ROW()-3),[1]Фотки!A:B,2,FALSE)</f>
        <v>https://i.ibb.co/Y490FqGk/6-1.jpg|https://i.ibb.co/HD00dwSH/7.jpg|https://i.ibb.co/LX4R87kK/8.jpg|https://i.ibb.co/CK11FJqk/9.jpg</v>
      </c>
      <c r="J27" t="s">
        <v>36</v>
      </c>
      <c r="K27" t="s">
        <v>37</v>
      </c>
      <c r="L27" t="str">
        <f t="shared" si="0"/>
        <v>Женская обувь</v>
      </c>
      <c r="M27" t="s">
        <v>38</v>
      </c>
      <c r="N27" t="s">
        <v>39</v>
      </c>
      <c r="O27" t="str">
        <f>PROPER('[1]Основной сток'!F24)</f>
        <v>Jordan</v>
      </c>
      <c r="P27" t="str">
        <f>'[1]Основной сток'!M24</f>
        <v>Черный</v>
      </c>
      <c r="R27" t="s">
        <v>41</v>
      </c>
      <c r="S27" t="s">
        <v>42</v>
      </c>
      <c r="T27" t="str">
        <f t="shared" si="1"/>
        <v>Кроссовки и кеды</v>
      </c>
      <c r="U27">
        <f>'[1]Основной сток'!J24 - 1</f>
        <v>39.5</v>
      </c>
      <c r="V27" t="s">
        <v>43</v>
      </c>
      <c r="X27" t="s">
        <v>44</v>
      </c>
      <c r="Y27" t="s">
        <v>45</v>
      </c>
    </row>
    <row r="28" spans="1:25" x14ac:dyDescent="0.15">
      <c r="A28" s="6">
        <f>'[1]Основной сток'!A25</f>
        <v>1358282</v>
      </c>
      <c r="B28" t="s">
        <v>33</v>
      </c>
      <c r="D28" t="s">
        <v>34</v>
      </c>
      <c r="E28" t="s">
        <v>35</v>
      </c>
      <c r="F28" s="7" t="str">
        <f>PROPER(LEFT('[1]Основной сток'!I25,FIND(CHAR(10),'[1]Основной сток'!I25&amp;CHAR(10))-1))</f>
        <v>Nike Dunk Low Harvest Moon (W)</v>
      </c>
      <c r="G28" t="str">
        <f>F28 &amp; ", " &amp; '[1]Основной сток'!H25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сток'!J25 &amp; " / RU " &amp;
INDEX('[1]Размерная сетка'!$B$2:$B$40,MATCH('[1]Основной сток'!J25,'[1]Размерная сетка'!$A$2:$A$40,0)) &amp; " / US " &amp;
INDEX('[1]Размерная сетка'!$C$2:$C$40,MATCH('[1]Основной сток'!J25,'[1]Размерная сетка'!$A$2:$A$40,0)) &amp; " / см " &amp;
INDEX('[1]Размерная сетка'!$D$2:$D$40,MATCH('[1]Основной сток'!J25,'[1]Размерная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Harvest Moon (W), DD1503-114
• В наличии в Москве
• Оригинал, можно проверить при получении
• Совершенно новые, полный комплект
• Размер: EU 36 / RU 35 / US 5,5 / см 22,5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8" s="8">
        <f>'[1]Основной сток'!L25</f>
        <v>14000</v>
      </c>
      <c r="I28" s="1" t="str" cm="1">
        <f t="array" ref="I28">VLOOKUP(INDEX('[1]Основной сток'!H:H,ROW()-3),[1]Фотки!A:B,2,FALSE)</f>
        <v>https://i.ibb.co/Z61XdNhk/1.jpg|https://i.ibb.co/gFH2n49G/2.jpg|https://i.ibb.co/VYV65mmN/3.jpg|https://i.ibb.co/TDTbM0wL/4.jpg</v>
      </c>
      <c r="J28" t="s">
        <v>36</v>
      </c>
      <c r="K28" t="s">
        <v>37</v>
      </c>
      <c r="L28" t="str">
        <f t="shared" si="0"/>
        <v>Женская обувь</v>
      </c>
      <c r="M28" t="s">
        <v>38</v>
      </c>
      <c r="N28" t="s">
        <v>39</v>
      </c>
      <c r="O28" t="str">
        <f>PROPER('[1]Основной сток'!F25)</f>
        <v>Nike</v>
      </c>
      <c r="P28" t="str">
        <f>'[1]Основной сток'!M25</f>
        <v>Оранжевый</v>
      </c>
      <c r="R28" t="s">
        <v>41</v>
      </c>
      <c r="S28" t="s">
        <v>42</v>
      </c>
      <c r="T28" t="str">
        <f t="shared" si="1"/>
        <v>Кроссовки и кеды</v>
      </c>
      <c r="U28">
        <f>'[1]Основной сток'!J25 - 1</f>
        <v>35</v>
      </c>
      <c r="V28" t="s">
        <v>43</v>
      </c>
      <c r="X28" t="s">
        <v>44</v>
      </c>
      <c r="Y28" t="s">
        <v>45</v>
      </c>
    </row>
    <row r="29" spans="1:25" x14ac:dyDescent="0.15">
      <c r="A29" s="6">
        <f>'[1]Основной сток'!A26</f>
        <v>1358287</v>
      </c>
      <c r="B29" t="s">
        <v>33</v>
      </c>
      <c r="D29" t="s">
        <v>34</v>
      </c>
      <c r="E29" t="s">
        <v>35</v>
      </c>
      <c r="F29" s="7" t="str">
        <f>PROPER(LEFT('[1]Основной сток'!I26,FIND(CHAR(10),'[1]Основной сток'!I26&amp;CHAR(10))-1))</f>
        <v>Nike Dunk Low Photon Dust (W)</v>
      </c>
      <c r="G29" t="str">
        <f>F29 &amp; ", " &amp; '[1]Основной сток'!H26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сток'!J26 &amp; " / RU " &amp;
INDEX('[1]Размерная сетка'!$B$2:$B$40,MATCH('[1]Основной сток'!J26,'[1]Размерная сетка'!$A$2:$A$40,0)) &amp; " / US " &amp;
INDEX('[1]Размерная сетка'!$C$2:$C$40,MATCH('[1]Основной сток'!J26,'[1]Размерная сетка'!$A$2:$A$40,0)) &amp; " / см " &amp;
INDEX('[1]Размерная сетка'!$D$2:$D$40,MATCH('[1]Основной сток'!J26,'[1]Размерная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Photon Dust (W), DD1503-103
• В наличии в Москве
• Оригинал, можно проверить при получении
• Совершенно новые, полный комплект
• Размер: EU 40,5 / RU 39,5 / US 9 / см 25,3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9" s="8">
        <f>'[1]Основной сток'!L26</f>
        <v>14000</v>
      </c>
      <c r="I29" s="1" t="str" cm="1">
        <f t="array" ref="I29">VLOOKUP(INDEX('[1]Основной сток'!H:H,ROW()-3),[1]Фотки!A:B,2,FALSE)</f>
        <v>https://i.ibb.co/Xxh034ZG/1-1.jpg|https://i.ibb.co/CpJ6kQYn/2.jpg|https://i.ibb.co/cK8TGjK1/3.jpg|https://i.ibb.co/99b1PqF2/4.jpg</v>
      </c>
      <c r="J29" t="s">
        <v>36</v>
      </c>
      <c r="K29" t="s">
        <v>37</v>
      </c>
      <c r="L29" t="str">
        <f t="shared" si="0"/>
        <v>Женская обувь</v>
      </c>
      <c r="M29" t="s">
        <v>38</v>
      </c>
      <c r="N29" t="s">
        <v>39</v>
      </c>
      <c r="O29" t="str">
        <f>PROPER('[1]Основной сток'!F26)</f>
        <v>Nike</v>
      </c>
      <c r="P29" t="str">
        <f>'[1]Основной сток'!M26</f>
        <v>Серый</v>
      </c>
      <c r="R29" t="s">
        <v>41</v>
      </c>
      <c r="S29" t="s">
        <v>42</v>
      </c>
      <c r="T29" t="str">
        <f t="shared" si="1"/>
        <v>Кроссовки и кеды</v>
      </c>
      <c r="U29">
        <f>'[1]Основной сток'!J26 - 1</f>
        <v>39.5</v>
      </c>
      <c r="V29" t="s">
        <v>43</v>
      </c>
      <c r="X29" t="s">
        <v>44</v>
      </c>
      <c r="Y29" t="s">
        <v>45</v>
      </c>
    </row>
    <row r="30" spans="1:25" x14ac:dyDescent="0.15">
      <c r="A30" s="6">
        <f>'[1]Основной сток'!A27</f>
        <v>1361657</v>
      </c>
      <c r="B30" t="s">
        <v>33</v>
      </c>
      <c r="D30" t="s">
        <v>34</v>
      </c>
      <c r="E30" t="s">
        <v>35</v>
      </c>
      <c r="F30" s="7" t="str">
        <f>PROPER(LEFT('[1]Основной сток'!I27,FIND(CHAR(10),'[1]Основной сток'!I27&amp;CHAR(10))-1))</f>
        <v>Jordan 1 Mid Light Madder Root (Gs)</v>
      </c>
      <c r="G30" t="str">
        <f>F30 &amp; ", " &amp; '[1]Основной сток'!H27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сток'!J27 &amp; " / RU " &amp;
INDEX('[1]Размерная сетка'!$B$2:$B$40,MATCH('[1]Основной сток'!J27,'[1]Размерная сетка'!$A$2:$A$40,0)) &amp; " / US " &amp;
INDEX('[1]Размерная сетка'!$C$2:$C$40,MATCH('[1]Основной сток'!J27,'[1]Размерная сетка'!$A$2:$A$40,0)) &amp; " / см " &amp;
INDEX('[1]Размерная сетка'!$D$2:$D$40,MATCH('[1]Основной сток'!J27,'[1]Размерная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Mid Light Madder Root (Gs), DM9077-108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0" s="8">
        <f>'[1]Основной сток'!L27</f>
        <v>10000</v>
      </c>
      <c r="I30" s="1" t="str" cm="1">
        <f t="array" ref="I30">VLOOKUP(INDEX('[1]Основной сток'!H:H,ROW()-3),[1]Фотки!A:B,2,FALSE)</f>
        <v>https://i.ibb.co/gbwz6f1y/1.jpg</v>
      </c>
      <c r="J30" t="s">
        <v>36</v>
      </c>
      <c r="K30" t="s">
        <v>37</v>
      </c>
      <c r="L30" t="str">
        <f t="shared" si="0"/>
        <v>Женская обувь</v>
      </c>
      <c r="M30" t="s">
        <v>38</v>
      </c>
      <c r="N30" t="s">
        <v>39</v>
      </c>
      <c r="O30" t="str">
        <f>PROPER('[1]Основной сток'!F27)</f>
        <v>Jordan</v>
      </c>
      <c r="P30" t="str">
        <f>'[1]Основной сток'!M27</f>
        <v>Розовый</v>
      </c>
      <c r="R30" t="s">
        <v>41</v>
      </c>
      <c r="S30" t="s">
        <v>42</v>
      </c>
      <c r="T30" t="str">
        <f t="shared" si="1"/>
        <v>Кроссовки и кеды</v>
      </c>
      <c r="U30">
        <f>'[1]Основной сток'!J27 - 1</f>
        <v>37.5</v>
      </c>
      <c r="V30" t="s">
        <v>43</v>
      </c>
      <c r="X30" t="s">
        <v>44</v>
      </c>
      <c r="Y30" t="s">
        <v>45</v>
      </c>
    </row>
    <row r="31" spans="1:25" x14ac:dyDescent="0.15">
      <c r="A31" s="6">
        <f>'[1]Основной сток'!A28</f>
        <v>1369231</v>
      </c>
      <c r="B31" t="s">
        <v>33</v>
      </c>
      <c r="D31" t="s">
        <v>34</v>
      </c>
      <c r="E31" t="s">
        <v>35</v>
      </c>
      <c r="F31" s="7" t="str">
        <f>PROPER(LEFT('[1]Основной сток'!I28,FIND(CHAR(10),'[1]Основной сток'!I28&amp;CHAR(10))-1))</f>
        <v>Nike Dunk Low Black White (Gs)</v>
      </c>
      <c r="G31" t="str">
        <f>F31 &amp; ", " &amp; '[1]Основной сток'!H28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сток'!J28 &amp; " / RU " &amp;
INDEX('[1]Размерная сетка'!$B$2:$B$40,MATCH('[1]Основной сток'!J28,'[1]Размерная сетка'!$A$2:$A$40,0)) &amp; " / US " &amp;
INDEX('[1]Размерная сетка'!$C$2:$C$40,MATCH('[1]Основной сток'!J28,'[1]Размерная сетка'!$A$2:$A$40,0)) &amp; " / см " &amp;
INDEX('[1]Размерная сетка'!$D$2:$D$40,MATCH('[1]Основной сток'!J28,'[1]Размерная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Black White (Gs), CW1590-100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1" s="8">
        <f>'[1]Основной сток'!L28</f>
        <v>10000</v>
      </c>
      <c r="I31" s="1" t="str" cm="1">
        <f t="array" ref="I31">VLOOKUP(INDEX('[1]Основной сток'!H:H,ROW()-3),[1]Фотки!A:B,2,FALSE)</f>
        <v>https://i.ibb.co/s9jqpTzY/1.jpg</v>
      </c>
      <c r="J31" t="s">
        <v>36</v>
      </c>
      <c r="K31" t="s">
        <v>37</v>
      </c>
      <c r="L31" t="str">
        <f t="shared" si="0"/>
        <v>Женская обувь</v>
      </c>
      <c r="M31" t="s">
        <v>38</v>
      </c>
      <c r="N31" t="s">
        <v>39</v>
      </c>
      <c r="O31" t="str">
        <f>PROPER('[1]Основной сток'!F28)</f>
        <v>Nike</v>
      </c>
      <c r="P31" t="str">
        <f>'[1]Основной сток'!M28</f>
        <v>Черный</v>
      </c>
      <c r="R31" t="s">
        <v>41</v>
      </c>
      <c r="S31" t="s">
        <v>42</v>
      </c>
      <c r="T31" t="str">
        <f t="shared" si="1"/>
        <v>Кроссовки и кеды</v>
      </c>
      <c r="U31">
        <f>'[1]Основной сток'!J28 - 1</f>
        <v>39</v>
      </c>
      <c r="V31" t="s">
        <v>43</v>
      </c>
      <c r="X31" t="s">
        <v>44</v>
      </c>
      <c r="Y31" t="s">
        <v>45</v>
      </c>
    </row>
    <row r="32" spans="1:25" x14ac:dyDescent="0.15">
      <c r="A32" s="6">
        <f>'[1]Основной сток'!A29</f>
        <v>1369234</v>
      </c>
      <c r="B32" t="s">
        <v>33</v>
      </c>
      <c r="D32" t="s">
        <v>34</v>
      </c>
      <c r="E32" t="s">
        <v>35</v>
      </c>
      <c r="F32" s="7" t="str">
        <f>PROPER(LEFT('[1]Основной сток'!I29,FIND(CHAR(10),'[1]Основной сток'!I29&amp;CHAR(10))-1))</f>
        <v>Jordan 1 Mid Se Light Mulberry (W)</v>
      </c>
      <c r="G32" t="str">
        <f>F32 &amp; ", " &amp; '[1]Основной сток'!H29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сток'!J29 &amp; " / RU " &amp;
INDEX('[1]Размерная сетка'!$B$2:$B$40,MATCH('[1]Основной сток'!J29,'[1]Размерная сетка'!$A$2:$A$40,0)) &amp; " / US " &amp;
INDEX('[1]Размерная сетка'!$C$2:$C$40,MATCH('[1]Основной сток'!J29,'[1]Размерная сетка'!$A$2:$A$40,0)) &amp; " / см " &amp;
INDEX('[1]Размерная сетка'!$D$2:$D$40,MATCH('[1]Основной сток'!J29,'[1]Размерная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Mid Se Light Mulberry (W), DC7267-500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2" s="8">
        <f>'[1]Основной сток'!L29</f>
        <v>15000</v>
      </c>
      <c r="I32" s="1" t="str" cm="1">
        <f t="array" ref="I32">VLOOKUP(INDEX('[1]Основной сток'!H:H,ROW()-3),[1]Фотки!A:B,2,FALSE)</f>
        <v>https://i.ibb.co/rRHj48Tx/1.jpg</v>
      </c>
      <c r="J32" t="s">
        <v>36</v>
      </c>
      <c r="K32" t="s">
        <v>37</v>
      </c>
      <c r="L32" t="str">
        <f t="shared" si="0"/>
        <v>Женская обувь</v>
      </c>
      <c r="M32" t="s">
        <v>38</v>
      </c>
      <c r="N32" t="s">
        <v>39</v>
      </c>
      <c r="O32" t="str">
        <f>PROPER('[1]Основной сток'!F29)</f>
        <v>Jordan</v>
      </c>
      <c r="P32" t="str">
        <f>'[1]Основной сток'!M29</f>
        <v>Розовый</v>
      </c>
      <c r="R32" t="s">
        <v>41</v>
      </c>
      <c r="S32" t="s">
        <v>42</v>
      </c>
      <c r="T32" t="str">
        <f t="shared" si="1"/>
        <v>Кроссовки и кеды</v>
      </c>
      <c r="U32">
        <f>'[1]Основной сток'!J29 - 1</f>
        <v>37</v>
      </c>
      <c r="V32" t="s">
        <v>43</v>
      </c>
      <c r="X32" t="s">
        <v>44</v>
      </c>
      <c r="Y32" t="s">
        <v>45</v>
      </c>
    </row>
    <row r="33" spans="1:25" x14ac:dyDescent="0.15">
      <c r="A33" s="6">
        <f>'[1]Основной сток'!A30</f>
        <v>1369235</v>
      </c>
      <c r="B33" t="s">
        <v>33</v>
      </c>
      <c r="D33" t="s">
        <v>34</v>
      </c>
      <c r="E33" t="s">
        <v>35</v>
      </c>
      <c r="F33" s="7" t="str">
        <f>PROPER(LEFT('[1]Основной сток'!I30,FIND(CHAR(10),'[1]Основной сток'!I30&amp;CHAR(10))-1))</f>
        <v>Jordan 1 Mid Se Light Mulberry (W)</v>
      </c>
      <c r="G33" t="str">
        <f>F33 &amp; ", " &amp; '[1]Основной сток'!H30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сток'!J30 &amp; " / RU " &amp;
INDEX('[1]Размерная сетка'!$B$2:$B$40,MATCH('[1]Основной сток'!J30,'[1]Размерная сетка'!$A$2:$A$40,0)) &amp; " / US " &amp;
INDEX('[1]Размерная сетка'!$C$2:$C$40,MATCH('[1]Основной сток'!J30,'[1]Размерная сетка'!$A$2:$A$40,0)) &amp; " / см " &amp;
INDEX('[1]Размерная сетка'!$D$2:$D$40,MATCH('[1]Основной сток'!J30,'[1]Размерная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Mid Se Light Mulberry (W), DC7267-500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3" s="8">
        <f>'[1]Основной сток'!L30</f>
        <v>15000</v>
      </c>
      <c r="I33" s="1" t="str" cm="1">
        <f t="array" ref="I33">VLOOKUP(INDEX('[1]Основной сток'!H:H,ROW()-3),[1]Фотки!A:B,2,FALSE)</f>
        <v>https://i.ibb.co/rRHj48Tx/1.jpg</v>
      </c>
      <c r="J33" t="s">
        <v>36</v>
      </c>
      <c r="K33" t="s">
        <v>37</v>
      </c>
      <c r="L33" t="str">
        <f t="shared" si="0"/>
        <v>Женская обувь</v>
      </c>
      <c r="M33" t="s">
        <v>38</v>
      </c>
      <c r="N33" t="s">
        <v>39</v>
      </c>
      <c r="O33" t="str">
        <f>PROPER('[1]Основной сток'!F30)</f>
        <v>Jordan</v>
      </c>
      <c r="P33" t="str">
        <f>'[1]Основной сток'!M30</f>
        <v>Розовый</v>
      </c>
      <c r="R33" t="s">
        <v>41</v>
      </c>
      <c r="S33" t="s">
        <v>42</v>
      </c>
      <c r="T33" t="str">
        <f t="shared" si="1"/>
        <v>Кроссовки и кеды</v>
      </c>
      <c r="U33">
        <f>'[1]Основной сток'!J30 - 1</f>
        <v>37</v>
      </c>
      <c r="V33" t="s">
        <v>43</v>
      </c>
      <c r="X33" t="s">
        <v>44</v>
      </c>
      <c r="Y33" t="s">
        <v>45</v>
      </c>
    </row>
    <row r="34" spans="1:25" x14ac:dyDescent="0.15">
      <c r="A34" s="6">
        <f>'[1]Основной сток'!A31</f>
        <v>1369247</v>
      </c>
      <c r="B34" t="s">
        <v>33</v>
      </c>
      <c r="D34" t="s">
        <v>34</v>
      </c>
      <c r="E34" t="s">
        <v>35</v>
      </c>
      <c r="F34" s="7" t="str">
        <f>PROPER(LEFT('[1]Основной сток'!I31,FIND(CHAR(10),'[1]Основной сток'!I31&amp;CHAR(10))-1))</f>
        <v>Jordan 1 Mid Valentine'S Day (2022) (W)</v>
      </c>
      <c r="G34" t="str">
        <f>F34 &amp; ", " &amp; '[1]Основной сток'!H31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сток'!J31 &amp; " / RU " &amp;
INDEX('[1]Размерная сетка'!$B$2:$B$40,MATCH('[1]Основной сток'!J31,'[1]Размерная сетка'!$A$2:$A$40,0)) &amp; " / US " &amp;
INDEX('[1]Размерная сетка'!$C$2:$C$40,MATCH('[1]Основной сток'!J31,'[1]Размерная сетка'!$A$2:$A$40,0)) &amp; " / см " &amp;
INDEX('[1]Размерная сетка'!$D$2:$D$40,MATCH('[1]Основной сток'!J31,'[1]Размерная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Mid Valentine'S Day (2022) (W), DR0174-500
• В наличии в Москве
• Оригинал, можно проверить при получении
• Совершенно новые, полный комплект
• Размер: EU 37,5 / RU 36,5 / US 6,5-7 / см 23,3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4" s="8">
        <f>'[1]Основной сток'!L31</f>
        <v>13000</v>
      </c>
      <c r="I34" s="1" t="str" cm="1">
        <f t="array" ref="I34">VLOOKUP(INDEX('[1]Основной сток'!H:H,ROW()-3),[1]Фотки!A:B,2,FALSE)</f>
        <v>https://i.ibb.co/VYXxCy3L/1.jpg</v>
      </c>
      <c r="J34" t="s">
        <v>36</v>
      </c>
      <c r="K34" t="s">
        <v>37</v>
      </c>
      <c r="L34" t="str">
        <f t="shared" si="0"/>
        <v>Женская обувь</v>
      </c>
      <c r="M34" t="s">
        <v>38</v>
      </c>
      <c r="N34" t="s">
        <v>39</v>
      </c>
      <c r="O34" t="str">
        <f>PROPER('[1]Основной сток'!F31)</f>
        <v>Jordan</v>
      </c>
      <c r="P34" t="str">
        <f>'[1]Основной сток'!M31</f>
        <v>Розовый</v>
      </c>
      <c r="R34" t="s">
        <v>41</v>
      </c>
      <c r="S34" t="s">
        <v>42</v>
      </c>
      <c r="T34" t="str">
        <f t="shared" si="1"/>
        <v>Кроссовки и кеды</v>
      </c>
      <c r="U34">
        <f>'[1]Основной сток'!J31 - 1</f>
        <v>36.5</v>
      </c>
      <c r="V34" t="s">
        <v>43</v>
      </c>
      <c r="X34" t="s">
        <v>44</v>
      </c>
      <c r="Y34" t="s">
        <v>45</v>
      </c>
    </row>
    <row r="35" spans="1:25" x14ac:dyDescent="0.15">
      <c r="A35" s="6">
        <f>'[1]Основной сток'!A32</f>
        <v>1404058</v>
      </c>
      <c r="B35" t="s">
        <v>33</v>
      </c>
      <c r="D35" t="s">
        <v>34</v>
      </c>
      <c r="E35" t="s">
        <v>35</v>
      </c>
      <c r="F35" s="7" t="str">
        <f>PROPER(LEFT('[1]Основной сток'!I32,FIND(CHAR(10),'[1]Основной сток'!I32&amp;CHAR(10))-1))</f>
        <v>Jordan 1 Mid Carbon Fiber (Gs)</v>
      </c>
      <c r="G35" t="str">
        <f>F35 &amp; ", " &amp; '[1]Основной сток'!H32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сток'!J32 &amp; " / RU " &amp;
INDEX('[1]Размерная сетка'!$B$2:$B$40,MATCH('[1]Основной сток'!J32,'[1]Размерная сетка'!$A$2:$A$40,0)) &amp; " / US " &amp;
INDEX('[1]Размерная сетка'!$C$2:$C$40,MATCH('[1]Основной сток'!J32,'[1]Размерная сетка'!$A$2:$A$40,0)) &amp; " / см " &amp;
INDEX('[1]Размерная сетка'!$D$2:$D$40,MATCH('[1]Основной сток'!J32,'[1]Размерная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Mid Carbon Fiber (Gs), DD2192-001
• В наличии в Москве
• Оригинал, можно проверить при получении
• Совершенно новые, полный комплект
• Размер: EU 37,5 / RU 36,5 / US 6,5-7 / см 23,3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5" s="8">
        <f>'[1]Основной сток'!L32</f>
        <v>20000</v>
      </c>
      <c r="I35" s="1" t="str" cm="1">
        <f t="array" ref="I35">VLOOKUP(INDEX('[1]Основной сток'!H:H,ROW()-3),[1]Фотки!A:B,2,FALSE)</f>
        <v>https://i.ibb.co/twKsbtYm/1-1.jpg</v>
      </c>
      <c r="J35" t="s">
        <v>36</v>
      </c>
      <c r="K35" t="s">
        <v>37</v>
      </c>
      <c r="L35" t="str">
        <f t="shared" si="0"/>
        <v>Женская обувь</v>
      </c>
      <c r="M35" t="s">
        <v>38</v>
      </c>
      <c r="N35" t="s">
        <v>39</v>
      </c>
      <c r="O35" t="str">
        <f>PROPER('[1]Основной сток'!F32)</f>
        <v>Jordan</v>
      </c>
      <c r="P35" t="str">
        <f>'[1]Основной сток'!M32</f>
        <v>Черный</v>
      </c>
      <c r="R35" t="s">
        <v>41</v>
      </c>
      <c r="S35" t="s">
        <v>42</v>
      </c>
      <c r="T35" t="str">
        <f t="shared" si="1"/>
        <v>Кроссовки и кеды</v>
      </c>
      <c r="U35">
        <f>'[1]Основной сток'!J32 - 1</f>
        <v>36.5</v>
      </c>
      <c r="V35" t="s">
        <v>43</v>
      </c>
      <c r="X35" t="s">
        <v>44</v>
      </c>
      <c r="Y35" t="s">
        <v>45</v>
      </c>
    </row>
    <row r="36" spans="1:25" x14ac:dyDescent="0.15">
      <c r="A36" s="6">
        <f>'[1]Основной сток'!A33</f>
        <v>1404064</v>
      </c>
      <c r="B36" t="s">
        <v>33</v>
      </c>
      <c r="D36" t="s">
        <v>34</v>
      </c>
      <c r="E36" t="s">
        <v>35</v>
      </c>
      <c r="F36" s="7" t="str">
        <f>PROPER(LEFT('[1]Основной сток'!I33,FIND(CHAR(10),'[1]Основной сток'!I33&amp;CHAR(10))-1))</f>
        <v>Jordan 1 Mid Zen Master (Gs)</v>
      </c>
      <c r="G36" t="str">
        <f>F36 &amp; ", " &amp; '[1]Основной сток'!H33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сток'!J33 &amp; " / RU " &amp;
INDEX('[1]Размерная сетка'!$B$2:$B$40,MATCH('[1]Основной сток'!J33,'[1]Размерная сетка'!$A$2:$A$40,0)) &amp; " / US " &amp;
INDEX('[1]Размерная сетка'!$C$2:$C$40,MATCH('[1]Основной сток'!J33,'[1]Размерная сетка'!$A$2:$A$40,0)) &amp; " / см " &amp;
INDEX('[1]Размерная сетка'!$D$2:$D$40,MATCH('[1]Основной сток'!J33,'[1]Размерная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Mid Zen Master (Gs), DM6216-001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6" s="8">
        <f>'[1]Основной сток'!L33</f>
        <v>12000</v>
      </c>
      <c r="I36" s="1" t="str" cm="1">
        <f t="array" ref="I36">VLOOKUP(INDEX('[1]Основной сток'!H:H,ROW()-3),[1]Фотки!A:B,2,FALSE)</f>
        <v>https://i.ibb.co/TxjM0nsL/1.jpg|https://i.ibb.co/Mx4D3ck9/2.jpg|https://i.ibb.co/m5jgYH7g/3.jpg|https://i.ibb.co/Xk6DYB35/4.jpg|https://i.ibb.co/v4gBjQNX/CD0461-001.jpg</v>
      </c>
      <c r="J36" t="s">
        <v>36</v>
      </c>
      <c r="K36" t="s">
        <v>37</v>
      </c>
      <c r="L36" t="str">
        <f t="shared" si="0"/>
        <v>Женская обувь</v>
      </c>
      <c r="M36" t="s">
        <v>38</v>
      </c>
      <c r="N36" t="s">
        <v>39</v>
      </c>
      <c r="O36" t="str">
        <f>PROPER('[1]Основной сток'!F33)</f>
        <v>Jordan</v>
      </c>
      <c r="P36" t="str">
        <f>'[1]Основной сток'!M33</f>
        <v>Черный</v>
      </c>
      <c r="R36" t="s">
        <v>41</v>
      </c>
      <c r="S36" t="s">
        <v>42</v>
      </c>
      <c r="T36" t="str">
        <f t="shared" si="1"/>
        <v>Кроссовки и кеды</v>
      </c>
      <c r="U36">
        <f>'[1]Основной сток'!J33 - 1</f>
        <v>39</v>
      </c>
      <c r="V36" t="s">
        <v>43</v>
      </c>
      <c r="X36" t="s">
        <v>44</v>
      </c>
      <c r="Y36" t="s">
        <v>45</v>
      </c>
    </row>
    <row r="37" spans="1:25" x14ac:dyDescent="0.15">
      <c r="A37" s="6">
        <f>'[1]Основной сток'!A34</f>
        <v>1404067</v>
      </c>
      <c r="B37" t="s">
        <v>33</v>
      </c>
      <c r="D37" t="s">
        <v>34</v>
      </c>
      <c r="E37" t="s">
        <v>35</v>
      </c>
      <c r="F37" s="7" t="str">
        <f>PROPER(LEFT('[1]Основной сток'!I34,FIND(CHAR(10),'[1]Основной сток'!I34&amp;CHAR(10))-1))</f>
        <v>Jordan 1 High Silver Toe (W)</v>
      </c>
      <c r="G37" t="str">
        <f>F37 &amp; ", " &amp; '[1]Основной сток'!H34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сток'!J34 &amp; " / RU " &amp;
INDEX('[1]Размерная сетка'!$B$2:$B$40,MATCH('[1]Основной сток'!J34,'[1]Размерная сетка'!$A$2:$A$40,0)) &amp; " / US " &amp;
INDEX('[1]Размерная сетка'!$C$2:$C$40,MATCH('[1]Основной сток'!J34,'[1]Размерная сетка'!$A$2:$A$40,0)) &amp; " / см " &amp;
INDEX('[1]Размерная сетка'!$D$2:$D$40,MATCH('[1]Основной сток'!J34,'[1]Размерная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High Silver Toe (W), CD0461-001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7" s="8">
        <f>'[1]Основной сток'!L34</f>
        <v>20000</v>
      </c>
      <c r="I37" s="1" t="str" cm="1">
        <f t="array" ref="I37">VLOOKUP(INDEX('[1]Основной сток'!H:H,ROW()-3),[1]Фотки!A:B,2,FALSE)</f>
        <v>https://i.ibb.co/v4gBjQNX/CD0461-001.jpg</v>
      </c>
      <c r="J37" t="s">
        <v>36</v>
      </c>
      <c r="K37" t="s">
        <v>37</v>
      </c>
      <c r="L37" t="str">
        <f t="shared" si="0"/>
        <v>Женская обувь</v>
      </c>
      <c r="M37" t="s">
        <v>38</v>
      </c>
      <c r="N37" t="s">
        <v>39</v>
      </c>
      <c r="O37" t="str">
        <f>PROPER('[1]Основной сток'!F34)</f>
        <v>Jordan</v>
      </c>
      <c r="P37" t="str">
        <f>'[1]Основной сток'!M34</f>
        <v>Черный</v>
      </c>
      <c r="R37" t="s">
        <v>41</v>
      </c>
      <c r="S37" t="s">
        <v>42</v>
      </c>
      <c r="T37" t="str">
        <f t="shared" si="1"/>
        <v>Кроссовки и кеды</v>
      </c>
      <c r="U37">
        <f>'[1]Основной сток'!J34 - 1</f>
        <v>37</v>
      </c>
      <c r="V37" t="s">
        <v>43</v>
      </c>
      <c r="X37" t="s">
        <v>44</v>
      </c>
      <c r="Y37" t="s">
        <v>45</v>
      </c>
    </row>
    <row r="38" spans="1:25" x14ac:dyDescent="0.15">
      <c r="A38" s="6">
        <f>'[1]Основной сток'!A35</f>
        <v>1412473</v>
      </c>
      <c r="B38" t="s">
        <v>33</v>
      </c>
      <c r="D38" t="s">
        <v>34</v>
      </c>
      <c r="E38" t="s">
        <v>35</v>
      </c>
      <c r="F38" s="7" t="str">
        <f>PROPER(LEFT('[1]Основной сток'!I35,FIND(CHAR(10),'[1]Основной сток'!I35&amp;CHAR(10))-1))</f>
        <v>Nike Dunk Low Off-White 29</v>
      </c>
      <c r="G38" t="str">
        <f>F38 &amp; ", " &amp; '[1]Основной сток'!H35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сток'!J35 &amp; " / RU " &amp;
INDEX('[1]Размерная сетка'!$B$2:$B$40,MATCH('[1]Основной сток'!J35,'[1]Размерная сетка'!$A$2:$A$40,0)) &amp; " / US " &amp;
INDEX('[1]Размерная сетка'!$C$2:$C$40,MATCH('[1]Основной сток'!J35,'[1]Размерная сетка'!$A$2:$A$40,0)) &amp; " / см " &amp;
INDEX('[1]Размерная сетка'!$D$2:$D$40,MATCH('[1]Основной сток'!J35,'[1]Размерная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Off-White 29, DM1602-103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8" s="8">
        <f>'[1]Основной сток'!L35</f>
        <v>80000</v>
      </c>
      <c r="I38" s="1" t="str" cm="1">
        <f t="array" ref="I38">VLOOKUP(INDEX('[1]Основной сток'!H:H,ROW()-3),[1]Фотки!A:B,2,FALSE)</f>
        <v>https://i.ibb.co/SDv096VP/1.jpg</v>
      </c>
      <c r="J38" t="s">
        <v>36</v>
      </c>
      <c r="K38" t="s">
        <v>37</v>
      </c>
      <c r="L38" t="str">
        <f t="shared" si="0"/>
        <v>Женская обувь</v>
      </c>
      <c r="M38" t="s">
        <v>38</v>
      </c>
      <c r="N38" t="s">
        <v>39</v>
      </c>
      <c r="O38" t="str">
        <f>PROPER('[1]Основной сток'!F35)</f>
        <v>Nike</v>
      </c>
      <c r="P38" t="str">
        <f>'[1]Основной сток'!M35</f>
        <v>Серый</v>
      </c>
      <c r="R38" t="s">
        <v>41</v>
      </c>
      <c r="S38" t="s">
        <v>42</v>
      </c>
      <c r="T38" t="str">
        <f t="shared" si="1"/>
        <v>Кроссовки и кеды</v>
      </c>
      <c r="U38">
        <f>'[1]Основной сток'!J35 - 1</f>
        <v>37.5</v>
      </c>
      <c r="V38" t="s">
        <v>43</v>
      </c>
      <c r="X38" t="s">
        <v>44</v>
      </c>
      <c r="Y38" t="s">
        <v>45</v>
      </c>
    </row>
    <row r="39" spans="1:25" x14ac:dyDescent="0.15">
      <c r="A39" s="6">
        <f>'[1]Основной сток'!A36</f>
        <v>1436903</v>
      </c>
      <c r="B39" t="s">
        <v>33</v>
      </c>
      <c r="D39" t="s">
        <v>34</v>
      </c>
      <c r="E39" t="s">
        <v>35</v>
      </c>
      <c r="F39" s="7" t="str">
        <f>PROPER(LEFT('[1]Основной сток'!I36,FIND(CHAR(10),'[1]Основной сток'!I36&amp;CHAR(10))-1))</f>
        <v>Nike Dunk Low Black White (Gs)</v>
      </c>
      <c r="G39" t="str">
        <f>F39 &amp; ", " &amp; '[1]Основной сток'!H36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сток'!J36 &amp; " / RU " &amp;
INDEX('[1]Размерная сетка'!$B$2:$B$40,MATCH('[1]Основной сток'!J36,'[1]Размерная сетка'!$A$2:$A$40,0)) &amp; " / US " &amp;
INDEX('[1]Размерная сетка'!$C$2:$C$40,MATCH('[1]Основной сток'!J36,'[1]Размерная сетка'!$A$2:$A$40,0)) &amp; " / см " &amp;
INDEX('[1]Размерная сетка'!$D$2:$D$40,MATCH('[1]Основной сток'!J36,'[1]Размерная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Black White (Gs), CW1590-100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9" s="8">
        <f>'[1]Основной сток'!L36</f>
        <v>12500</v>
      </c>
      <c r="I39" s="1" t="str" cm="1">
        <f t="array" ref="I39">VLOOKUP(INDEX('[1]Основной сток'!H:H,ROW()-3),[1]Фотки!A:B,2,FALSE)</f>
        <v>https://i.ibb.co/s9jqpTzY/1.jpg</v>
      </c>
      <c r="J39" t="s">
        <v>36</v>
      </c>
      <c r="K39" t="s">
        <v>37</v>
      </c>
      <c r="L39" t="str">
        <f t="shared" si="0"/>
        <v>Женская обувь</v>
      </c>
      <c r="M39" t="s">
        <v>38</v>
      </c>
      <c r="N39" t="s">
        <v>39</v>
      </c>
      <c r="O39" t="str">
        <f>PROPER('[1]Основной сток'!F36)</f>
        <v>Nike</v>
      </c>
      <c r="P39" t="str">
        <f>'[1]Основной сток'!M36</f>
        <v>Черный</v>
      </c>
      <c r="R39" t="s">
        <v>41</v>
      </c>
      <c r="S39" t="s">
        <v>42</v>
      </c>
      <c r="T39" t="str">
        <f t="shared" si="1"/>
        <v>Кроссовки и кеды</v>
      </c>
      <c r="U39">
        <f>'[1]Основной сток'!J36 - 1</f>
        <v>39</v>
      </c>
      <c r="V39" t="s">
        <v>43</v>
      </c>
      <c r="X39" t="s">
        <v>44</v>
      </c>
      <c r="Y39" t="s">
        <v>45</v>
      </c>
    </row>
    <row r="40" spans="1:25" x14ac:dyDescent="0.15">
      <c r="A40" s="6">
        <f>'[1]Основной сток'!A37</f>
        <v>1453812</v>
      </c>
      <c r="B40" t="s">
        <v>33</v>
      </c>
      <c r="D40" t="s">
        <v>34</v>
      </c>
      <c r="E40" t="s">
        <v>35</v>
      </c>
      <c r="F40" s="7" t="str">
        <f>PROPER(LEFT('[1]Основной сток'!I37,FIND(CHAR(10),'[1]Основной сток'!I37&amp;CHAR(10))-1))</f>
        <v>Nike Dunk Low Ess Green Paisley</v>
      </c>
      <c r="G40" t="str">
        <f>F40 &amp; ", " &amp; '[1]Основной сток'!H37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сток'!J37 &amp; " / RU " &amp;
INDEX('[1]Размерная сетка'!$B$2:$B$40,MATCH('[1]Основной сток'!J37,'[1]Размерная сетка'!$A$2:$A$40,0)) &amp; " / US " &amp;
INDEX('[1]Размерная сетка'!$C$2:$C$40,MATCH('[1]Основной сток'!J37,'[1]Размерная сетка'!$A$2:$A$40,0)) &amp; " / см " &amp;
INDEX('[1]Размерная сетка'!$D$2:$D$40,MATCH('[1]Основной сток'!J37,'[1]Размерная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Ess Green Paisley, DH4401-102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40" s="8">
        <f>'[1]Основной сток'!L37</f>
        <v>15000</v>
      </c>
      <c r="I40" s="1" t="str" cm="1">
        <f t="array" ref="I40">VLOOKUP(INDEX('[1]Основной сток'!H:H,ROW()-3),[1]Фотки!A:B,2,FALSE)</f>
        <v>https://i.ibb.co/ZPxqzwS/1-1.jpg</v>
      </c>
      <c r="J40" t="s">
        <v>36</v>
      </c>
      <c r="K40" t="s">
        <v>37</v>
      </c>
      <c r="L40" t="str">
        <f t="shared" si="0"/>
        <v>Женская обувь</v>
      </c>
      <c r="M40" t="s">
        <v>38</v>
      </c>
      <c r="N40" t="s">
        <v>39</v>
      </c>
      <c r="O40" t="str">
        <f>PROPER('[1]Основной сток'!F37)</f>
        <v>Nike</v>
      </c>
      <c r="P40" t="str">
        <f>'[1]Основной сток'!M37</f>
        <v>Зелёный</v>
      </c>
      <c r="R40" t="s">
        <v>41</v>
      </c>
      <c r="S40" t="s">
        <v>42</v>
      </c>
      <c r="T40" t="str">
        <f t="shared" si="1"/>
        <v>Кроссовки и кеды</v>
      </c>
      <c r="U40">
        <f>'[1]Основной сток'!J37 - 1</f>
        <v>37</v>
      </c>
      <c r="V40" t="s">
        <v>43</v>
      </c>
      <c r="X40" t="s">
        <v>44</v>
      </c>
      <c r="Y40" t="s">
        <v>45</v>
      </c>
    </row>
    <row r="41" spans="1:25" x14ac:dyDescent="0.15">
      <c r="A41" s="6">
        <f>'[1]Основной сток'!A38</f>
        <v>1470466</v>
      </c>
      <c r="B41" t="s">
        <v>33</v>
      </c>
      <c r="D41" t="s">
        <v>34</v>
      </c>
      <c r="E41" t="s">
        <v>35</v>
      </c>
      <c r="F41" s="7" t="str">
        <f>PROPER(LEFT('[1]Основной сток'!I38,FIND(CHAR(10),'[1]Основной сток'!I38&amp;CHAR(10))-1))</f>
        <v>Nike Dunk Low Fleece Green</v>
      </c>
      <c r="G41" t="str">
        <f>F41 &amp; ", " &amp; '[1]Основной сток'!H38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сток'!J38 &amp; " / RU " &amp;
INDEX('[1]Размерная сетка'!$B$2:$B$40,MATCH('[1]Основной сток'!J38,'[1]Размерная сетка'!$A$2:$A$40,0)) &amp; " / US " &amp;
INDEX('[1]Размерная сетка'!$C$2:$C$40,MATCH('[1]Основной сток'!J38,'[1]Размерная сетка'!$A$2:$A$40,0)) &amp; " / см " &amp;
INDEX('[1]Размерная сетка'!$D$2:$D$40,MATCH('[1]Основной сток'!J38,'[1]Размерная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Fleece Green, DQ7579-300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41" s="8">
        <f>'[1]Основной сток'!L38</f>
        <v>13000</v>
      </c>
      <c r="I41" s="1" t="str" cm="1">
        <f t="array" ref="I41">VLOOKUP(INDEX('[1]Основной сток'!H:H,ROW()-3),[1]Фотки!A:B,2,FALSE)</f>
        <v>https://i.ibb.co/mCgP5dP4/1.jpg</v>
      </c>
      <c r="J41" t="s">
        <v>36</v>
      </c>
      <c r="K41" t="s">
        <v>37</v>
      </c>
      <c r="L41" t="str">
        <f t="shared" si="0"/>
        <v>Женская обувь</v>
      </c>
      <c r="M41" t="s">
        <v>38</v>
      </c>
      <c r="N41" t="s">
        <v>39</v>
      </c>
      <c r="O41" t="str">
        <f>PROPER('[1]Основной сток'!F38)</f>
        <v>Nike</v>
      </c>
      <c r="P41" t="str">
        <f>'[1]Основной сток'!M38</f>
        <v>Зелёный</v>
      </c>
      <c r="R41" t="s">
        <v>41</v>
      </c>
      <c r="S41" t="s">
        <v>42</v>
      </c>
      <c r="T41" t="str">
        <f t="shared" si="1"/>
        <v>Кроссовки и кеды</v>
      </c>
      <c r="U41">
        <f>'[1]Основной сток'!J38 - 1</f>
        <v>39</v>
      </c>
      <c r="V41" t="s">
        <v>43</v>
      </c>
      <c r="X41" t="s">
        <v>44</v>
      </c>
      <c r="Y41" t="s">
        <v>45</v>
      </c>
    </row>
    <row r="42" spans="1:25" x14ac:dyDescent="0.15">
      <c r="A42" s="6">
        <f>'[1]Основной сток'!A39</f>
        <v>1470471</v>
      </c>
      <c r="B42" t="s">
        <v>33</v>
      </c>
      <c r="D42" t="s">
        <v>34</v>
      </c>
      <c r="E42" t="s">
        <v>35</v>
      </c>
      <c r="F42" s="7" t="str">
        <f>PROPER(LEFT('[1]Основной сток'!I39,FIND(CHAR(10),'[1]Основной сток'!I39&amp;CHAR(10))-1))</f>
        <v>Nike Dunk Low Grey Fog</v>
      </c>
      <c r="G42" t="str">
        <f>F42 &amp; ", " &amp; '[1]Основной сток'!H39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сток'!J39 &amp; " / RU " &amp;
INDEX('[1]Размерная сетка'!$B$2:$B$40,MATCH('[1]Основной сток'!J39,'[1]Размерная сетка'!$A$2:$A$40,0)) &amp; " / US " &amp;
INDEX('[1]Размерная сетка'!$C$2:$C$40,MATCH('[1]Основной сток'!J39,'[1]Размерная сетка'!$A$2:$A$40,0)) &amp; " / см " &amp;
INDEX('[1]Размерная сетка'!$D$2:$D$40,MATCH('[1]Основной сток'!J39,'[1]Размерная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Grey Fog, DD1391-103
• В наличии в Москве
• Оригинал, можно проверить при получении
• Совершенно новые, полный комплект
• Размер: EU 42,5 / RU 41,5 / US 9 / см 26,7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42" s="8">
        <f>'[1]Основной сток'!L39</f>
        <v>15000</v>
      </c>
      <c r="I42" s="1" t="str" cm="1">
        <f t="array" ref="I42">VLOOKUP(INDEX('[1]Основной сток'!H:H,ROW()-3),[1]Фотки!A:B,2,FALSE)</f>
        <v>https://i.ibb.co/23GCmXmr/1-1.jpg|https://i.ibb.co/RTnf4VjD/2.jpg|https://i.ibb.co/Z66hN3X9/3.jpg|https://i.ibb.co/r2BfGSsm/4.jpg</v>
      </c>
      <c r="J42" t="s">
        <v>36</v>
      </c>
      <c r="K42" t="s">
        <v>37</v>
      </c>
      <c r="L42" t="str">
        <f t="shared" si="0"/>
        <v>Мужская обувь</v>
      </c>
      <c r="M42" t="s">
        <v>38</v>
      </c>
      <c r="N42" t="s">
        <v>39</v>
      </c>
      <c r="O42" t="str">
        <f>PROPER('[1]Основной сток'!F39)</f>
        <v>Nike</v>
      </c>
      <c r="P42" t="str">
        <f>'[1]Основной сток'!M39</f>
        <v>Серый</v>
      </c>
      <c r="R42" t="s">
        <v>41</v>
      </c>
      <c r="S42" t="s">
        <v>42</v>
      </c>
      <c r="T42" t="str">
        <f t="shared" si="1"/>
        <v>Кроссовки</v>
      </c>
      <c r="U42">
        <f>'[1]Основной сток'!J39 - 1</f>
        <v>41.5</v>
      </c>
      <c r="V42" t="s">
        <v>43</v>
      </c>
      <c r="X42" t="s">
        <v>44</v>
      </c>
      <c r="Y42" t="s">
        <v>45</v>
      </c>
    </row>
    <row r="43" spans="1:25" x14ac:dyDescent="0.15">
      <c r="A43" s="6">
        <f>'[1]Основной сток'!A40</f>
        <v>1470473</v>
      </c>
      <c r="B43" t="s">
        <v>33</v>
      </c>
      <c r="D43" t="s">
        <v>34</v>
      </c>
      <c r="E43" t="s">
        <v>35</v>
      </c>
      <c r="F43" s="7" t="str">
        <f>PROPER(LEFT('[1]Основной сток'!I40,FIND(CHAR(10),'[1]Основной сток'!I40&amp;CHAR(10))-1))</f>
        <v>Nike Dunk Low Grey Fog</v>
      </c>
      <c r="G43" t="str">
        <f>F43 &amp; ", " &amp; '[1]Основной сток'!H40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сток'!J40 &amp; " / RU " &amp;
INDEX('[1]Размерная сетка'!$B$2:$B$40,MATCH('[1]Основной сток'!J40,'[1]Размерная сетка'!$A$2:$A$40,0)) &amp; " / US " &amp;
INDEX('[1]Размерная сетка'!$C$2:$C$40,MATCH('[1]Основной сток'!J40,'[1]Размерная сетка'!$A$2:$A$40,0)) &amp; " / см " &amp;
INDEX('[1]Размерная сетка'!$D$2:$D$40,MATCH('[1]Основной сток'!J40,'[1]Размерная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Grey Fog, DD1391-103
• В наличии в Москве
• Оригинал, можно проверить при получении
• Совершенно новые, полный комплект
• Размер: EU 44 / RU 43 / US 10 / см 27,7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43" s="8">
        <f>'[1]Основной сток'!L40</f>
        <v>15000</v>
      </c>
      <c r="I43" s="1" t="str" cm="1">
        <f t="array" ref="I43">VLOOKUP(INDEX('[1]Основной сток'!H:H,ROW()-3),[1]Фотки!A:B,2,FALSE)</f>
        <v>https://i.ibb.co/23GCmXmr/1-1.jpg|https://i.ibb.co/RTnf4VjD/2.jpg|https://i.ibb.co/Z66hN3X9/3.jpg|https://i.ibb.co/r2BfGSsm/4.jpg</v>
      </c>
      <c r="J43" t="s">
        <v>36</v>
      </c>
      <c r="K43" t="s">
        <v>37</v>
      </c>
      <c r="L43" t="str">
        <f t="shared" si="0"/>
        <v>Мужская обувь</v>
      </c>
      <c r="M43" t="s">
        <v>38</v>
      </c>
      <c r="N43" t="s">
        <v>39</v>
      </c>
      <c r="O43" t="str">
        <f>PROPER('[1]Основной сток'!F40)</f>
        <v>Nike</v>
      </c>
      <c r="P43" t="str">
        <f>'[1]Основной сток'!M40</f>
        <v>Серый</v>
      </c>
      <c r="R43" t="s">
        <v>41</v>
      </c>
      <c r="S43" t="s">
        <v>42</v>
      </c>
      <c r="T43" t="str">
        <f t="shared" si="1"/>
        <v>Кроссовки</v>
      </c>
      <c r="U43">
        <f>'[1]Основной сток'!J40 - 1</f>
        <v>43</v>
      </c>
      <c r="V43" t="s">
        <v>43</v>
      </c>
      <c r="X43" t="s">
        <v>44</v>
      </c>
      <c r="Y43" t="s">
        <v>45</v>
      </c>
    </row>
    <row r="44" spans="1:25" x14ac:dyDescent="0.15">
      <c r="A44" s="6">
        <f>'[1]Основной сток'!A41</f>
        <v>1472021</v>
      </c>
      <c r="B44" t="s">
        <v>33</v>
      </c>
      <c r="D44" t="s">
        <v>34</v>
      </c>
      <c r="E44" t="s">
        <v>35</v>
      </c>
      <c r="F44" s="7" t="str">
        <f>PROPER(LEFT('[1]Основной сток'!I41,FIND(CHAR(10),'[1]Основной сток'!I41&amp;CHAR(10))-1))</f>
        <v>Air Jordan 1 Mid Lucky Green (Gs)</v>
      </c>
      <c r="G44" t="str">
        <f>F44 &amp; ", " &amp; '[1]Основной сток'!H41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сток'!J41 &amp; " / RU " &amp;
INDEX('[1]Размерная сетка'!$B$2:$B$40,MATCH('[1]Основной сток'!J41,'[1]Размерная сетка'!$A$2:$A$40,0)) &amp; " / US " &amp;
INDEX('[1]Размерная сетка'!$C$2:$C$40,MATCH('[1]Основной сток'!J41,'[1]Размерная сетка'!$A$2:$A$40,0)) &amp; " / см " &amp;
INDEX('[1]Размерная сетка'!$D$2:$D$40,MATCH('[1]Основной сток'!J41,'[1]Размерная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Mid Lucky Green (Gs), DQ8423-301
• В наличии в Москве
• Оригинал, можно проверить при получении
• Совершенно новые, полный комплект
• Размер: EU 37,5 / RU 36,5 / US 6,5-7 / см 23,3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44" s="8">
        <f>'[1]Основной сток'!L41</f>
        <v>13000</v>
      </c>
      <c r="I44" s="1" t="str" cm="1">
        <f t="array" ref="I44">VLOOKUP(INDEX('[1]Основной сток'!H:H,ROW()-3),[1]Фотки!A:B,2,FALSE)</f>
        <v>https://i.ibb.co/PvrpMYHt/1.jpg|https://i.ibb.co/V0sTvmw7/2.jpg|https://i.ibb.co/NztBLCn/3.jpg|https://i.ibb.co/Wp513WFR/4.jpg</v>
      </c>
      <c r="J44" t="s">
        <v>36</v>
      </c>
      <c r="K44" t="s">
        <v>37</v>
      </c>
      <c r="L44" t="str">
        <f t="shared" si="0"/>
        <v>Женская обувь</v>
      </c>
      <c r="M44" t="s">
        <v>38</v>
      </c>
      <c r="N44" t="s">
        <v>39</v>
      </c>
      <c r="O44" t="str">
        <f>PROPER('[1]Основной сток'!F41)</f>
        <v>Jordan</v>
      </c>
      <c r="P44" t="str">
        <f>'[1]Основной сток'!M41</f>
        <v>Зелёный</v>
      </c>
      <c r="R44" t="s">
        <v>41</v>
      </c>
      <c r="S44" t="s">
        <v>42</v>
      </c>
      <c r="T44" t="str">
        <f t="shared" si="1"/>
        <v>Кроссовки и кеды</v>
      </c>
      <c r="U44">
        <f>'[1]Основной сток'!J41 - 1</f>
        <v>36.5</v>
      </c>
      <c r="V44" t="s">
        <v>43</v>
      </c>
      <c r="X44" t="s">
        <v>44</v>
      </c>
      <c r="Y44" t="s">
        <v>45</v>
      </c>
    </row>
    <row r="45" spans="1:25" x14ac:dyDescent="0.15">
      <c r="A45" s="6">
        <f>'[1]Основной сток'!A42</f>
        <v>1472023</v>
      </c>
      <c r="B45" t="s">
        <v>33</v>
      </c>
      <c r="D45" t="s">
        <v>34</v>
      </c>
      <c r="E45" t="s">
        <v>35</v>
      </c>
      <c r="F45" s="7" t="str">
        <f>PROPER(LEFT('[1]Основной сток'!I42,FIND(CHAR(10),'[1]Основной сток'!I42&amp;CHAR(10))-1))</f>
        <v>Air Jordan 1 Mid Lucky Green (Gs)</v>
      </c>
      <c r="G45" t="str">
        <f>F45 &amp; ", " &amp; '[1]Основной сток'!H42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сток'!J42 &amp; " / RU " &amp;
INDEX('[1]Размерная сетка'!$B$2:$B$40,MATCH('[1]Основной сток'!J42,'[1]Размерная сетка'!$A$2:$A$40,0)) &amp; " / US " &amp;
INDEX('[1]Размерная сетка'!$C$2:$C$40,MATCH('[1]Основной сток'!J42,'[1]Размерная сетка'!$A$2:$A$40,0)) &amp; " / см " &amp;
INDEX('[1]Размерная сетка'!$D$2:$D$40,MATCH('[1]Основной сток'!J42,'[1]Размерная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Mid Lucky Green (Gs), DQ8423-301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45" s="8">
        <f>'[1]Основной сток'!L42</f>
        <v>13000</v>
      </c>
      <c r="I45" s="1" t="str" cm="1">
        <f t="array" ref="I45">VLOOKUP(INDEX('[1]Основной сток'!H:H,ROW()-3),[1]Фотки!A:B,2,FALSE)</f>
        <v>https://i.ibb.co/PvrpMYHt/1.jpg|https://i.ibb.co/V0sTvmw7/2.jpg|https://i.ibb.co/NztBLCn/3.jpg|https://i.ibb.co/Wp513WFR/4.jpg</v>
      </c>
      <c r="J45" t="s">
        <v>36</v>
      </c>
      <c r="K45" t="s">
        <v>37</v>
      </c>
      <c r="L45" t="str">
        <f t="shared" si="0"/>
        <v>Женская обувь</v>
      </c>
      <c r="M45" t="s">
        <v>38</v>
      </c>
      <c r="N45" t="s">
        <v>39</v>
      </c>
      <c r="O45" t="str">
        <f>PROPER('[1]Основной сток'!F42)</f>
        <v>Jordan</v>
      </c>
      <c r="P45" t="str">
        <f>'[1]Основной сток'!M42</f>
        <v>Зелёный</v>
      </c>
      <c r="R45" t="s">
        <v>41</v>
      </c>
      <c r="S45" t="s">
        <v>42</v>
      </c>
      <c r="T45" t="str">
        <f t="shared" si="1"/>
        <v>Кроссовки и кеды</v>
      </c>
      <c r="U45">
        <f>'[1]Основной сток'!J42 - 1</f>
        <v>37.5</v>
      </c>
      <c r="V45" t="s">
        <v>43</v>
      </c>
      <c r="X45" t="s">
        <v>44</v>
      </c>
      <c r="Y45" t="s">
        <v>45</v>
      </c>
    </row>
    <row r="46" spans="1:25" x14ac:dyDescent="0.15">
      <c r="A46" s="6">
        <f>'[1]Основной сток'!A43</f>
        <v>1472025</v>
      </c>
      <c r="B46" t="s">
        <v>33</v>
      </c>
      <c r="D46" t="s">
        <v>34</v>
      </c>
      <c r="E46" t="s">
        <v>35</v>
      </c>
      <c r="F46" s="7" t="str">
        <f>PROPER(LEFT('[1]Основной сток'!I43,FIND(CHAR(10),'[1]Основной сток'!I43&amp;CHAR(10))-1))</f>
        <v>Nike Dunk Low Photon Dust (W)</v>
      </c>
      <c r="G46" t="str">
        <f>F46 &amp; ", " &amp; '[1]Основной сток'!H43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сток'!J43 &amp; " / RU " &amp;
INDEX('[1]Размерная сетка'!$B$2:$B$40,MATCH('[1]Основной сток'!J43,'[1]Размерная сетка'!$A$2:$A$40,0)) &amp; " / US " &amp;
INDEX('[1]Размерная сетка'!$C$2:$C$40,MATCH('[1]Основной сток'!J43,'[1]Размерная сетка'!$A$2:$A$40,0)) &amp; " / см " &amp;
INDEX('[1]Размерная сетка'!$D$2:$D$40,MATCH('[1]Основной сток'!J43,'[1]Размерная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Photon Dust (W), DD1503-103
• В наличии в Москве
• Оригинал, можно проверить при получении
• Совершенно новые, полный комплект
• Размер: EU 37,5 / RU 36,5 / US 6,5-7 / см 23,3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46" s="8">
        <f>'[1]Основной сток'!L43</f>
        <v>24000</v>
      </c>
      <c r="I46" s="1" t="str" cm="1">
        <f t="array" ref="I46">VLOOKUP(INDEX('[1]Основной сток'!H:H,ROW()-3),[1]Фотки!A:B,2,FALSE)</f>
        <v>https://i.ibb.co/Xxh034ZG/1-1.jpg|https://i.ibb.co/CpJ6kQYn/2.jpg|https://i.ibb.co/cK8TGjK1/3.jpg|https://i.ibb.co/99b1PqF2/4.jpg</v>
      </c>
      <c r="J46" t="s">
        <v>36</v>
      </c>
      <c r="K46" t="s">
        <v>37</v>
      </c>
      <c r="L46" t="str">
        <f t="shared" si="0"/>
        <v>Женская обувь</v>
      </c>
      <c r="M46" t="s">
        <v>38</v>
      </c>
      <c r="N46" t="s">
        <v>39</v>
      </c>
      <c r="O46" t="str">
        <f>PROPER('[1]Основной сток'!F43)</f>
        <v>Nike</v>
      </c>
      <c r="P46" t="str">
        <f>'[1]Основной сток'!M43</f>
        <v>Серый</v>
      </c>
      <c r="R46" t="s">
        <v>41</v>
      </c>
      <c r="S46" t="s">
        <v>42</v>
      </c>
      <c r="T46" t="str">
        <f t="shared" si="1"/>
        <v>Кроссовки и кеды</v>
      </c>
      <c r="U46">
        <f>'[1]Основной сток'!J43 - 1</f>
        <v>36.5</v>
      </c>
      <c r="V46" t="s">
        <v>43</v>
      </c>
      <c r="X46" t="s">
        <v>44</v>
      </c>
      <c r="Y46" t="s">
        <v>45</v>
      </c>
    </row>
    <row r="47" spans="1:25" x14ac:dyDescent="0.15">
      <c r="A47" s="6">
        <f>'[1]Основной сток'!A44</f>
        <v>1474024</v>
      </c>
      <c r="B47" t="s">
        <v>33</v>
      </c>
      <c r="D47" t="s">
        <v>34</v>
      </c>
      <c r="E47" t="s">
        <v>35</v>
      </c>
      <c r="F47" s="7" t="str">
        <f>PROPER(LEFT('[1]Основной сток'!I44,FIND(CHAR(10),'[1]Основной сток'!I44&amp;CHAR(10))-1))</f>
        <v>Nike Dunk Low Malachite University Gold (W)</v>
      </c>
      <c r="G47" t="str">
        <f>F47 &amp; ", " &amp; '[1]Основной сток'!H44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сток'!J44 &amp; " / RU " &amp;
INDEX('[1]Размерная сетка'!$B$2:$B$40,MATCH('[1]Основной сток'!J44,'[1]Размерная сетка'!$A$2:$A$40,0)) &amp; " / US " &amp;
INDEX('[1]Размерная сетка'!$C$2:$C$40,MATCH('[1]Основной сток'!J44,'[1]Размерная сетка'!$A$2:$A$40,0)) &amp; " / см " &amp;
INDEX('[1]Размерная сетка'!$D$2:$D$40,MATCH('[1]Основной сток'!J44,'[1]Размерная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Malachite University Gold (W), FB7173-131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47" s="8">
        <f>'[1]Основной сток'!L44</f>
        <v>14000</v>
      </c>
      <c r="I47" s="1" t="str" cm="1">
        <f t="array" ref="I47">VLOOKUP(INDEX('[1]Основной сток'!H:H,ROW()-3),[1]Фотки!A:B,2,FALSE)</f>
        <v>https://i.ibb.co/r2ZS5rmY/1-1.jpg|https://i.ibb.co/RTpmPrtp/2.jpg|https://i.ibb.co/ZzsLkQPS/3.jpg|https://i.ibb.co/BKwy0jqD/4.jpg</v>
      </c>
      <c r="J47" t="s">
        <v>36</v>
      </c>
      <c r="K47" t="s">
        <v>37</v>
      </c>
      <c r="L47" t="str">
        <f t="shared" si="0"/>
        <v>Женская обувь</v>
      </c>
      <c r="M47" t="s">
        <v>38</v>
      </c>
      <c r="N47" t="s">
        <v>39</v>
      </c>
      <c r="O47" t="str">
        <f>PROPER('[1]Основной сток'!F44)</f>
        <v>Nike</v>
      </c>
      <c r="P47" t="str">
        <f>'[1]Основной сток'!M44</f>
        <v>Зелёный</v>
      </c>
      <c r="R47" t="s">
        <v>41</v>
      </c>
      <c r="S47" t="s">
        <v>42</v>
      </c>
      <c r="T47" t="str">
        <f t="shared" si="1"/>
        <v>Кроссовки и кеды</v>
      </c>
      <c r="U47">
        <f>'[1]Основной сток'!J44 - 1</f>
        <v>37.5</v>
      </c>
      <c r="V47" t="s">
        <v>43</v>
      </c>
      <c r="X47" t="s">
        <v>44</v>
      </c>
      <c r="Y47" t="s">
        <v>45</v>
      </c>
    </row>
    <row r="48" spans="1:25" x14ac:dyDescent="0.15">
      <c r="A48" s="6">
        <f>'[1]Основной сток'!A45</f>
        <v>1474026</v>
      </c>
      <c r="B48" t="s">
        <v>33</v>
      </c>
      <c r="D48" t="s">
        <v>34</v>
      </c>
      <c r="E48" t="s">
        <v>35</v>
      </c>
      <c r="F48" s="7" t="str">
        <f>PROPER(LEFT('[1]Основной сток'!I45,FIND(CHAR(10),'[1]Основной сток'!I45&amp;CHAR(10))-1))</f>
        <v>Nike Dunk Low Malachite University Gold (W)</v>
      </c>
      <c r="G48" t="str">
        <f>F48 &amp; ", " &amp; '[1]Основной сток'!H45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сток'!J45 &amp; " / RU " &amp;
INDEX('[1]Размерная сетка'!$B$2:$B$40,MATCH('[1]Основной сток'!J45,'[1]Размерная сетка'!$A$2:$A$40,0)) &amp; " / US " &amp;
INDEX('[1]Размерная сетка'!$C$2:$C$40,MATCH('[1]Основной сток'!J45,'[1]Размерная сетка'!$A$2:$A$40,0)) &amp; " / см " &amp;
INDEX('[1]Размерная сетка'!$D$2:$D$40,MATCH('[1]Основной сток'!J45,'[1]Размерная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Malachite University Gold (W), FB7173-131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48" s="8">
        <f>'[1]Основной сток'!L45</f>
        <v>14000</v>
      </c>
      <c r="I48" s="1" t="str" cm="1">
        <f t="array" ref="I48">VLOOKUP(INDEX('[1]Основной сток'!H:H,ROW()-3),[1]Фотки!A:B,2,FALSE)</f>
        <v>https://i.ibb.co/r2ZS5rmY/1-1.jpg|https://i.ibb.co/RTpmPrtp/2.jpg|https://i.ibb.co/ZzsLkQPS/3.jpg|https://i.ibb.co/BKwy0jqD/4.jpg</v>
      </c>
      <c r="J48" t="s">
        <v>36</v>
      </c>
      <c r="K48" t="s">
        <v>37</v>
      </c>
      <c r="L48" t="str">
        <f t="shared" si="0"/>
        <v>Женская обувь</v>
      </c>
      <c r="M48" t="s">
        <v>38</v>
      </c>
      <c r="N48" t="s">
        <v>39</v>
      </c>
      <c r="O48" t="str">
        <f>PROPER('[1]Основной сток'!F45)</f>
        <v>Nike</v>
      </c>
      <c r="P48" t="str">
        <f>'[1]Основной сток'!M45</f>
        <v>Зелёный</v>
      </c>
      <c r="R48" t="s">
        <v>41</v>
      </c>
      <c r="S48" t="s">
        <v>42</v>
      </c>
      <c r="T48" t="str">
        <f t="shared" si="1"/>
        <v>Кроссовки и кеды</v>
      </c>
      <c r="U48">
        <f>'[1]Основной сток'!J45 - 1</f>
        <v>39</v>
      </c>
      <c r="V48" t="s">
        <v>43</v>
      </c>
      <c r="X48" t="s">
        <v>44</v>
      </c>
      <c r="Y48" t="s">
        <v>45</v>
      </c>
    </row>
    <row r="49" spans="1:25" x14ac:dyDescent="0.15">
      <c r="A49" s="6">
        <f>'[1]Основной сток'!A46</f>
        <v>1474029</v>
      </c>
      <c r="B49" t="s">
        <v>33</v>
      </c>
      <c r="D49" t="s">
        <v>34</v>
      </c>
      <c r="E49" t="s">
        <v>35</v>
      </c>
      <c r="F49" s="7" t="str">
        <f>PROPER(LEFT('[1]Основной сток'!I46,FIND(CHAR(10),'[1]Основной сток'!I46&amp;CHAR(10))-1))</f>
        <v>Nike Dunk Low Prm Team Red (W)</v>
      </c>
      <c r="G49" t="str">
        <f>F49 &amp; ", " &amp; '[1]Основной сток'!H46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сток'!J46 &amp; " / RU " &amp;
INDEX('[1]Размерная сетка'!$B$2:$B$40,MATCH('[1]Основной сток'!J46,'[1]Размерная сетка'!$A$2:$A$40,0)) &amp; " / US " &amp;
INDEX('[1]Размерная сетка'!$C$2:$C$40,MATCH('[1]Основной сток'!J46,'[1]Размерная сетка'!$A$2:$A$40,0)) &amp; " / см " &amp;
INDEX('[1]Размерная сетка'!$D$2:$D$40,MATCH('[1]Основной сток'!J46,'[1]Размерная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Prm Team Red (W), FJ4555-100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49" s="8">
        <f>'[1]Основной сток'!L46</f>
        <v>12000</v>
      </c>
      <c r="I49" s="1" t="str" cm="1">
        <f t="array" ref="I49">VLOOKUP(INDEX('[1]Основной сток'!H:H,ROW()-3),[1]Фотки!A:B,2,FALSE)</f>
        <v>https://i.ibb.co/s91JqjyG/1.jpg|https://i.ibb.co/PGXdPQpP/2.jpg|https://i.ibb.co/ZDkJvbZ/3.jpg|https://i.ibb.co/WNQxGQFf/4.jpg</v>
      </c>
      <c r="J49" t="s">
        <v>36</v>
      </c>
      <c r="K49" t="s">
        <v>37</v>
      </c>
      <c r="L49" t="str">
        <f t="shared" si="0"/>
        <v>Женская обувь</v>
      </c>
      <c r="M49" t="s">
        <v>38</v>
      </c>
      <c r="N49" t="s">
        <v>39</v>
      </c>
      <c r="O49" t="str">
        <f>PROPER('[1]Основной сток'!F46)</f>
        <v>Nike</v>
      </c>
      <c r="P49" t="str">
        <f>'[1]Основной сток'!M46</f>
        <v>Красный</v>
      </c>
      <c r="R49" t="s">
        <v>41</v>
      </c>
      <c r="S49" t="s">
        <v>42</v>
      </c>
      <c r="T49" t="str">
        <f t="shared" si="1"/>
        <v>Кроссовки и кеды</v>
      </c>
      <c r="U49">
        <f>'[1]Основной сток'!J46 - 1</f>
        <v>37.5</v>
      </c>
      <c r="V49" t="s">
        <v>43</v>
      </c>
      <c r="X49" t="s">
        <v>44</v>
      </c>
      <c r="Y49" t="s">
        <v>45</v>
      </c>
    </row>
    <row r="50" spans="1:25" x14ac:dyDescent="0.15">
      <c r="A50" s="6">
        <f>'[1]Основной сток'!A47</f>
        <v>1474037</v>
      </c>
      <c r="B50" t="s">
        <v>33</v>
      </c>
      <c r="D50" t="s">
        <v>34</v>
      </c>
      <c r="E50" t="s">
        <v>35</v>
      </c>
      <c r="F50" s="7" t="str">
        <f>PROPER(LEFT('[1]Основной сток'!I47,FIND(CHAR(10),'[1]Основной сток'!I47&amp;CHAR(10))-1))</f>
        <v>Nike Dunk Low Fleece Green</v>
      </c>
      <c r="G50" t="str">
        <f>F50 &amp; ", " &amp; '[1]Основной сток'!H47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сток'!J47 &amp; " / RU " &amp;
INDEX('[1]Размерная сетка'!$B$2:$B$40,MATCH('[1]Основной сток'!J47,'[1]Размерная сетка'!$A$2:$A$40,0)) &amp; " / US " &amp;
INDEX('[1]Размерная сетка'!$C$2:$C$40,MATCH('[1]Основной сток'!J47,'[1]Размерная сетка'!$A$2:$A$40,0)) &amp; " / см " &amp;
INDEX('[1]Размерная сетка'!$D$2:$D$40,MATCH('[1]Основной сток'!J47,'[1]Размерная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Fleece Green, DQ7579-300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50" s="8">
        <f>'[1]Основной сток'!L47</f>
        <v>13000</v>
      </c>
      <c r="I50" s="1" t="str" cm="1">
        <f t="array" ref="I50">VLOOKUP(INDEX('[1]Основной сток'!H:H,ROW()-3),[1]Фотки!A:B,2,FALSE)</f>
        <v>https://i.ibb.co/mCgP5dP4/1.jpg</v>
      </c>
      <c r="J50" t="s">
        <v>36</v>
      </c>
      <c r="K50" t="s">
        <v>37</v>
      </c>
      <c r="L50" t="str">
        <f t="shared" si="0"/>
        <v>Женская обувь</v>
      </c>
      <c r="M50" t="s">
        <v>38</v>
      </c>
      <c r="N50" t="s">
        <v>39</v>
      </c>
      <c r="O50" t="str">
        <f>PROPER('[1]Основной сток'!F47)</f>
        <v>Nike</v>
      </c>
      <c r="P50" t="str">
        <f>'[1]Основной сток'!M47</f>
        <v>Зелёный</v>
      </c>
      <c r="R50" t="s">
        <v>41</v>
      </c>
      <c r="S50" t="s">
        <v>42</v>
      </c>
      <c r="T50" t="str">
        <f t="shared" si="1"/>
        <v>Кроссовки и кеды</v>
      </c>
      <c r="U50">
        <f>'[1]Основной сток'!J47 - 1</f>
        <v>37</v>
      </c>
      <c r="V50" t="s">
        <v>43</v>
      </c>
      <c r="X50" t="s">
        <v>44</v>
      </c>
      <c r="Y50" t="s">
        <v>45</v>
      </c>
    </row>
    <row r="51" spans="1:25" x14ac:dyDescent="0.15">
      <c r="A51" s="6">
        <f>'[1]Основной сток'!A48</f>
        <v>1481369</v>
      </c>
      <c r="B51" t="s">
        <v>33</v>
      </c>
      <c r="D51" t="s">
        <v>34</v>
      </c>
      <c r="E51" t="s">
        <v>35</v>
      </c>
      <c r="F51" s="7" t="str">
        <f>PROPER(LEFT('[1]Основной сток'!I48,FIND(CHAR(10),'[1]Основной сток'!I48&amp;CHAR(10))-1))</f>
        <v>Air Jordan 1 Mid Se Ice Blue (2023) (Gs)</v>
      </c>
      <c r="G51" t="str">
        <f>F51 &amp; ", " &amp; '[1]Основной сток'!H48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сток'!J48 &amp; " / RU " &amp;
INDEX('[1]Размерная сетка'!$B$2:$B$40,MATCH('[1]Основной сток'!J48,'[1]Размерная сетка'!$A$2:$A$40,0)) &amp; " / US " &amp;
INDEX('[1]Размерная сетка'!$C$2:$C$40,MATCH('[1]Основной сток'!J48,'[1]Размерная сетка'!$A$2:$A$40,0)) &amp; " / см " &amp;
INDEX('[1]Размерная сетка'!$D$2:$D$40,MATCH('[1]Основной сток'!J48,'[1]Размерная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Mid Se Ice Blue (2023) (Gs), DV1337-104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51" s="8">
        <f>'[1]Основной сток'!L48</f>
        <v>13500</v>
      </c>
      <c r="I51" s="1" t="str" cm="1">
        <f t="array" ref="I51">VLOOKUP(INDEX('[1]Основной сток'!H:H,ROW()-3),[1]Фотки!A:B,2,FALSE)</f>
        <v>https://i.ibb.co/LDLQ1Pqm/1.jpg|https://i.ibb.co/jvFjSB1T/2.jpg|https://i.ibb.co/G4B2rxrt/3.jpg|https://i.ibb.co/nNLwmKwy/4.jpg</v>
      </c>
      <c r="J51" t="s">
        <v>36</v>
      </c>
      <c r="K51" t="s">
        <v>37</v>
      </c>
      <c r="L51" t="str">
        <f t="shared" si="0"/>
        <v>Женская обувь</v>
      </c>
      <c r="M51" t="s">
        <v>38</v>
      </c>
      <c r="N51" t="s">
        <v>39</v>
      </c>
      <c r="O51" t="str">
        <f>PROPER('[1]Основной сток'!F48)</f>
        <v>Jordan</v>
      </c>
      <c r="P51" t="str">
        <f>'[1]Основной сток'!M48</f>
        <v>Голубой</v>
      </c>
      <c r="R51" t="s">
        <v>41</v>
      </c>
      <c r="S51" t="s">
        <v>42</v>
      </c>
      <c r="T51" t="str">
        <f t="shared" si="1"/>
        <v>Кроссовки и кеды</v>
      </c>
      <c r="U51">
        <f>'[1]Основной сток'!J48 - 1</f>
        <v>37.5</v>
      </c>
      <c r="V51" t="s">
        <v>43</v>
      </c>
      <c r="X51" t="s">
        <v>44</v>
      </c>
      <c r="Y51" t="s">
        <v>45</v>
      </c>
    </row>
    <row r="52" spans="1:25" x14ac:dyDescent="0.15">
      <c r="A52" s="6">
        <f>'[1]Основной сток'!A49</f>
        <v>1481384</v>
      </c>
      <c r="B52" t="s">
        <v>33</v>
      </c>
      <c r="D52" t="s">
        <v>34</v>
      </c>
      <c r="E52" t="s">
        <v>35</v>
      </c>
      <c r="F52" s="7" t="str">
        <f>PROPER(LEFT('[1]Основной сток'!I49,FIND(CHAR(10),'[1]Основной сток'!I49&amp;CHAR(10))-1))</f>
        <v>Nike Dunk Low Free 99 (Gs)</v>
      </c>
      <c r="G52" t="str">
        <f>F52 &amp; ", " &amp; '[1]Основной сток'!H49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сток'!J49 &amp; " / RU " &amp;
INDEX('[1]Размерная сетка'!$B$2:$B$40,MATCH('[1]Основной сток'!J49,'[1]Размерная сетка'!$A$2:$A$40,0)) &amp; " / US " &amp;
INDEX('[1]Размерная сетка'!$C$2:$C$40,MATCH('[1]Основной сток'!J49,'[1]Размерная сетка'!$A$2:$A$40,0)) &amp; " / см " &amp;
INDEX('[1]Размерная сетка'!$D$2:$D$40,MATCH('[1]Основной сток'!J49,'[1]Размерная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Free 99 (Gs), CZ2496-001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52" s="8">
        <f>'[1]Основной сток'!L49</f>
        <v>12000</v>
      </c>
      <c r="I52" s="1" t="str" cm="1">
        <f t="array" ref="I52">VLOOKUP(INDEX('[1]Основной сток'!H:H,ROW()-3),[1]Фотки!A:B,2,FALSE)</f>
        <v>https://i.ibb.co/XkGz3Jx9/1-1.jpg</v>
      </c>
      <c r="J52" t="s">
        <v>36</v>
      </c>
      <c r="K52" t="s">
        <v>37</v>
      </c>
      <c r="L52" t="str">
        <f t="shared" si="0"/>
        <v>Женская обувь</v>
      </c>
      <c r="M52" t="s">
        <v>38</v>
      </c>
      <c r="N52" t="s">
        <v>39</v>
      </c>
      <c r="O52" t="str">
        <f>PROPER('[1]Основной сток'!F49)</f>
        <v>Nike</v>
      </c>
      <c r="P52" t="str">
        <f>'[1]Основной сток'!M49</f>
        <v>Черный</v>
      </c>
      <c r="R52" t="s">
        <v>41</v>
      </c>
      <c r="S52" t="s">
        <v>42</v>
      </c>
      <c r="T52" t="str">
        <f t="shared" si="1"/>
        <v>Кроссовки и кеды</v>
      </c>
      <c r="U52">
        <f>'[1]Основной сток'!J49 - 1</f>
        <v>39</v>
      </c>
      <c r="V52" t="s">
        <v>43</v>
      </c>
      <c r="X52" t="s">
        <v>44</v>
      </c>
      <c r="Y52" t="s">
        <v>45</v>
      </c>
    </row>
    <row r="53" spans="1:25" x14ac:dyDescent="0.15">
      <c r="A53" s="6">
        <f>'[1]Основной сток'!A50</f>
        <v>1484894</v>
      </c>
      <c r="B53" t="s">
        <v>33</v>
      </c>
      <c r="D53" t="s">
        <v>34</v>
      </c>
      <c r="E53" t="s">
        <v>35</v>
      </c>
      <c r="F53" s="7" t="str">
        <f>PROPER(LEFT('[1]Основной сток'!I50,FIND(CHAR(10),'[1]Основной сток'!I50&amp;CHAR(10))-1))</f>
        <v>Nike Dunk Low Fleece Green</v>
      </c>
      <c r="G53" t="str">
        <f>F53 &amp; ", " &amp; '[1]Основной сток'!H50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сток'!J50 &amp; " / RU " &amp;
INDEX('[1]Размерная сетка'!$B$2:$B$40,MATCH('[1]Основной сток'!J50,'[1]Размерная сетка'!$A$2:$A$40,0)) &amp; " / US " &amp;
INDEX('[1]Размерная сетка'!$C$2:$C$40,MATCH('[1]Основной сток'!J50,'[1]Размерная сетка'!$A$2:$A$40,0)) &amp; " / см " &amp;
INDEX('[1]Размерная сетка'!$D$2:$D$40,MATCH('[1]Основной сток'!J50,'[1]Размерная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Fleece Green, DQ7579-300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53" s="8">
        <f>'[1]Основной сток'!L50</f>
        <v>13000</v>
      </c>
      <c r="I53" s="1" t="str" cm="1">
        <f t="array" ref="I53">VLOOKUP(INDEX('[1]Основной сток'!H:H,ROW()-3),[1]Фотки!A:B,2,FALSE)</f>
        <v>https://i.ibb.co/mCgP5dP4/1.jpg</v>
      </c>
      <c r="J53" t="s">
        <v>36</v>
      </c>
      <c r="K53" t="s">
        <v>37</v>
      </c>
      <c r="L53" t="str">
        <f t="shared" si="0"/>
        <v>Женская обувь</v>
      </c>
      <c r="M53" t="s">
        <v>38</v>
      </c>
      <c r="N53" t="s">
        <v>39</v>
      </c>
      <c r="O53" t="str">
        <f>PROPER('[1]Основной сток'!F50)</f>
        <v>Nike</v>
      </c>
      <c r="P53" t="str">
        <f>'[1]Основной сток'!M50</f>
        <v>Зелёный</v>
      </c>
      <c r="R53" t="s">
        <v>41</v>
      </c>
      <c r="S53" t="s">
        <v>42</v>
      </c>
      <c r="T53" t="str">
        <f t="shared" si="1"/>
        <v>Кроссовки и кеды</v>
      </c>
      <c r="U53">
        <f>'[1]Основной сток'!J50 - 1</f>
        <v>38</v>
      </c>
      <c r="V53" t="s">
        <v>43</v>
      </c>
      <c r="X53" t="s">
        <v>44</v>
      </c>
      <c r="Y53" t="s">
        <v>45</v>
      </c>
    </row>
    <row r="54" spans="1:25" x14ac:dyDescent="0.15">
      <c r="A54" s="6">
        <f>'[1]Основной сток'!A51</f>
        <v>1484932</v>
      </c>
      <c r="B54" t="s">
        <v>33</v>
      </c>
      <c r="D54" t="s">
        <v>34</v>
      </c>
      <c r="E54" t="s">
        <v>35</v>
      </c>
      <c r="F54" s="7" t="str">
        <f>PROPER(LEFT('[1]Основной сток'!I51,FIND(CHAR(10),'[1]Основной сток'!I51&amp;CHAR(10))-1))</f>
        <v>Nike Dunk Low Venice (W)</v>
      </c>
      <c r="G54" t="str">
        <f>F54 &amp; ", " &amp; '[1]Основной сток'!H51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сток'!J51 &amp; " / RU " &amp;
INDEX('[1]Размерная сетка'!$B$2:$B$40,MATCH('[1]Основной сток'!J51,'[1]Размерная сетка'!$A$2:$A$40,0)) &amp; " / US " &amp;
INDEX('[1]Размерная сетка'!$C$2:$C$40,MATCH('[1]Основной сток'!J51,'[1]Размерная сетка'!$A$2:$A$40,0)) &amp; " / см " &amp;
INDEX('[1]Размерная сетка'!$D$2:$D$40,MATCH('[1]Основной сток'!J51,'[1]Размерная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Venice (W), DD1503-116
• В наличии в Москве
• Оригинал, можно проверить при получении
• Совершенно новые, полный комплект
• Размер: EU 37,5 / RU 36,5 / US 6,5-7 / см 23,3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54" s="8">
        <f>'[1]Основной сток'!L51</f>
        <v>15000</v>
      </c>
      <c r="I54" s="1" t="str" cm="1">
        <f t="array" ref="I54">VLOOKUP(INDEX('[1]Основной сток'!H:H,ROW()-3),[1]Фотки!A:B,2,FALSE)</f>
        <v>https://i.ibb.co/0VQTwvQY/1.jpg|https://i.ibb.co/rGXZVBwg/2.jpg|https://i.ibb.co/rRPcvvZV/3.jpg|https://i.ibb.co/tw3PW6vL/4.jpg</v>
      </c>
      <c r="J54" t="s">
        <v>36</v>
      </c>
      <c r="K54" t="s">
        <v>37</v>
      </c>
      <c r="L54" t="str">
        <f t="shared" si="0"/>
        <v>Женская обувь</v>
      </c>
      <c r="M54" t="s">
        <v>38</v>
      </c>
      <c r="N54" t="s">
        <v>39</v>
      </c>
      <c r="O54" t="str">
        <f>PROPER('[1]Основной сток'!F51)</f>
        <v>Nike</v>
      </c>
      <c r="P54" t="str">
        <f>'[1]Основной сток'!M51</f>
        <v>Серый</v>
      </c>
      <c r="R54" t="s">
        <v>41</v>
      </c>
      <c r="S54" t="s">
        <v>42</v>
      </c>
      <c r="T54" t="str">
        <f t="shared" si="1"/>
        <v>Кроссовки и кеды</v>
      </c>
      <c r="U54">
        <f>'[1]Основной сток'!J51 - 1</f>
        <v>36.5</v>
      </c>
      <c r="V54" t="s">
        <v>43</v>
      </c>
      <c r="X54" t="s">
        <v>44</v>
      </c>
      <c r="Y54" t="s">
        <v>45</v>
      </c>
    </row>
    <row r="55" spans="1:25" x14ac:dyDescent="0.15">
      <c r="A55" s="6">
        <f>'[1]Основной сток'!A52</f>
        <v>1485562</v>
      </c>
      <c r="B55" t="s">
        <v>33</v>
      </c>
      <c r="D55" t="s">
        <v>34</v>
      </c>
      <c r="E55" t="s">
        <v>35</v>
      </c>
      <c r="F55" s="7" t="str">
        <f>PROPER(LEFT('[1]Основной сток'!I52,FIND(CHAR(10),'[1]Основной сток'!I52&amp;CHAR(10))-1))</f>
        <v>Air Jordan 1 Low Mystic Green (Gs)</v>
      </c>
      <c r="G55" t="str">
        <f>F55 &amp; ", " &amp; '[1]Основной сток'!H52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сток'!J52 &amp; " / RU " &amp;
INDEX('[1]Размерная сетка'!$B$2:$B$40,MATCH('[1]Основной сток'!J52,'[1]Размерная сетка'!$A$2:$A$40,0)) &amp; " / US " &amp;
INDEX('[1]Размерная сетка'!$C$2:$C$40,MATCH('[1]Основной сток'!J52,'[1]Размерная сетка'!$A$2:$A$40,0)) &amp; " / см " &amp;
INDEX('[1]Размерная сетка'!$D$2:$D$40,MATCH('[1]Основной сток'!J52,'[1]Размерная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Low Mystic Green (Gs), 553560-113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55" s="8">
        <f>'[1]Основной сток'!L52</f>
        <v>13500</v>
      </c>
      <c r="I55" s="1" t="str" cm="1">
        <f t="array" ref="I55">VLOOKUP(INDEX('[1]Основной сток'!H:H,ROW()-3),[1]Фотки!A:B,2,FALSE)</f>
        <v>https://i.ibb.co/b5bjFXCR/1-1.jpg|https://i.ibb.co/8nb08Ttc/2.jpg|https://i.ibb.co/JFHcHNGC/3.jpg|https://i.ibb.co/Gv2jrQN0/4.jpg</v>
      </c>
      <c r="J55" t="s">
        <v>36</v>
      </c>
      <c r="K55" t="s">
        <v>37</v>
      </c>
      <c r="L55" t="str">
        <f t="shared" si="0"/>
        <v>Женская обувь</v>
      </c>
      <c r="M55" t="s">
        <v>38</v>
      </c>
      <c r="N55" t="s">
        <v>39</v>
      </c>
      <c r="O55" t="str">
        <f>PROPER('[1]Основной сток'!F52)</f>
        <v>Jordan</v>
      </c>
      <c r="P55" t="str">
        <f>'[1]Основной сток'!M52</f>
        <v>Зелёный</v>
      </c>
      <c r="R55" t="s">
        <v>41</v>
      </c>
      <c r="S55" t="s">
        <v>42</v>
      </c>
      <c r="T55" t="str">
        <f t="shared" si="1"/>
        <v>Кроссовки и кеды</v>
      </c>
      <c r="U55">
        <f>'[1]Основной сток'!J52 - 1</f>
        <v>37</v>
      </c>
      <c r="V55" t="s">
        <v>43</v>
      </c>
      <c r="X55" t="s">
        <v>44</v>
      </c>
      <c r="Y55" t="s">
        <v>45</v>
      </c>
    </row>
    <row r="56" spans="1:25" x14ac:dyDescent="0.15">
      <c r="A56" s="6">
        <f>'[1]Основной сток'!A53</f>
        <v>1485563</v>
      </c>
      <c r="B56" t="s">
        <v>33</v>
      </c>
      <c r="D56" t="s">
        <v>34</v>
      </c>
      <c r="E56" t="s">
        <v>35</v>
      </c>
      <c r="F56" s="7" t="str">
        <f>PROPER(LEFT('[1]Основной сток'!I53,FIND(CHAR(10),'[1]Основной сток'!I53&amp;CHAR(10))-1))</f>
        <v>Air Jordan 1 Low Mystic Green (Gs)</v>
      </c>
      <c r="G56" t="str">
        <f>F56 &amp; ", " &amp; '[1]Основной сток'!H53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сток'!J53 &amp; " / RU " &amp;
INDEX('[1]Размерная сетка'!$B$2:$B$40,MATCH('[1]Основной сток'!J53,'[1]Размерная сетка'!$A$2:$A$40,0)) &amp; " / US " &amp;
INDEX('[1]Размерная сетка'!$C$2:$C$40,MATCH('[1]Основной сток'!J53,'[1]Размерная сетка'!$A$2:$A$40,0)) &amp; " / см " &amp;
INDEX('[1]Размерная сетка'!$D$2:$D$40,MATCH('[1]Основной сток'!J53,'[1]Размерная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Low Mystic Green (Gs), 553560-113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56" s="8">
        <f>'[1]Основной сток'!L53</f>
        <v>13500</v>
      </c>
      <c r="I56" s="1" t="str" cm="1">
        <f t="array" ref="I56">VLOOKUP(INDEX('[1]Основной сток'!H:H,ROW()-3),[1]Фотки!A:B,2,FALSE)</f>
        <v>https://i.ibb.co/b5bjFXCR/1-1.jpg|https://i.ibb.co/8nb08Ttc/2.jpg|https://i.ibb.co/JFHcHNGC/3.jpg|https://i.ibb.co/Gv2jrQN0/4.jpg</v>
      </c>
      <c r="J56" t="s">
        <v>36</v>
      </c>
      <c r="K56" t="s">
        <v>37</v>
      </c>
      <c r="L56" t="str">
        <f t="shared" si="0"/>
        <v>Женская обувь</v>
      </c>
      <c r="M56" t="s">
        <v>38</v>
      </c>
      <c r="N56" t="s">
        <v>39</v>
      </c>
      <c r="O56" t="str">
        <f>PROPER('[1]Основной сток'!F53)</f>
        <v>Jordan</v>
      </c>
      <c r="P56" t="str">
        <f>'[1]Основной сток'!M53</f>
        <v>Зелёный</v>
      </c>
      <c r="R56" t="s">
        <v>41</v>
      </c>
      <c r="S56" t="s">
        <v>42</v>
      </c>
      <c r="T56" t="str">
        <f t="shared" si="1"/>
        <v>Кроссовки и кеды</v>
      </c>
      <c r="U56">
        <f>'[1]Основной сток'!J53 - 1</f>
        <v>37.5</v>
      </c>
      <c r="V56" t="s">
        <v>43</v>
      </c>
      <c r="X56" t="s">
        <v>44</v>
      </c>
      <c r="Y56" t="s">
        <v>45</v>
      </c>
    </row>
    <row r="57" spans="1:25" x14ac:dyDescent="0.15">
      <c r="A57" s="6">
        <f>'[1]Основной сток'!A54</f>
        <v>1485655</v>
      </c>
      <c r="B57" t="s">
        <v>33</v>
      </c>
      <c r="D57" t="s">
        <v>34</v>
      </c>
      <c r="E57" t="s">
        <v>35</v>
      </c>
      <c r="F57" s="7" t="str">
        <f>PROPER(LEFT('[1]Основной сток'!I54,FIND(CHAR(10),'[1]Основной сток'!I54&amp;CHAR(10))-1))</f>
        <v>Air Jordan 1 Low White Ice Blue (W)</v>
      </c>
      <c r="G57" t="str">
        <f>F57 &amp; ", " &amp; '[1]Основной сток'!H54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сток'!J54 &amp; " / RU " &amp;
INDEX('[1]Размерная сетка'!$B$2:$B$40,MATCH('[1]Основной сток'!J54,'[1]Размерная сетка'!$A$2:$A$40,0)) &amp; " / US " &amp;
INDEX('[1]Размерная сетка'!$C$2:$C$40,MATCH('[1]Основной сток'!J54,'[1]Размерная сетка'!$A$2:$A$40,0)) &amp; " / см " &amp;
INDEX('[1]Размерная сетка'!$D$2:$D$40,MATCH('[1]Основной сток'!J54,'[1]Размерная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Low White Ice Blue (W), DC0774-141
• В наличии в Москве
• Оригинал, можно проверить при получении
• Совершенно новые, полный комплект
• Размер: EU 37,5 / RU 36,5 / US 6,5-7 / см 23,3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57" s="8">
        <f>'[1]Основной сток'!L54</f>
        <v>15500</v>
      </c>
      <c r="I57" s="1" t="str" cm="1">
        <f t="array" ref="I57">VLOOKUP(INDEX('[1]Основной сток'!H:H,ROW()-3),[1]Фотки!A:B,2,FALSE)</f>
        <v>https://i.ibb.co/SXD6DByb/1.jpg</v>
      </c>
      <c r="J57" t="s">
        <v>36</v>
      </c>
      <c r="K57" t="s">
        <v>37</v>
      </c>
      <c r="L57" t="str">
        <f t="shared" si="0"/>
        <v>Женская обувь</v>
      </c>
      <c r="M57" t="s">
        <v>38</v>
      </c>
      <c r="N57" t="s">
        <v>39</v>
      </c>
      <c r="O57" t="str">
        <f>PROPER('[1]Основной сток'!F54)</f>
        <v>Jordan</v>
      </c>
      <c r="P57" t="str">
        <f>'[1]Основной сток'!M54</f>
        <v>Голубой</v>
      </c>
      <c r="R57" t="s">
        <v>41</v>
      </c>
      <c r="S57" t="s">
        <v>42</v>
      </c>
      <c r="T57" t="str">
        <f t="shared" si="1"/>
        <v>Кроссовки и кеды</v>
      </c>
      <c r="U57">
        <f>'[1]Основной сток'!J54 - 1</f>
        <v>36.5</v>
      </c>
      <c r="V57" t="s">
        <v>43</v>
      </c>
      <c r="X57" t="s">
        <v>44</v>
      </c>
      <c r="Y57" t="s">
        <v>45</v>
      </c>
    </row>
    <row r="58" spans="1:25" x14ac:dyDescent="0.15">
      <c r="A58" s="6">
        <f>'[1]Основной сток'!A55</f>
        <v>1486260</v>
      </c>
      <c r="B58" t="s">
        <v>33</v>
      </c>
      <c r="D58" t="s">
        <v>34</v>
      </c>
      <c r="E58" t="s">
        <v>35</v>
      </c>
      <c r="F58" s="7" t="str">
        <f>PROPER(LEFT('[1]Основной сток'!I55,FIND(CHAR(10),'[1]Основной сток'!I55&amp;CHAR(10))-1))</f>
        <v>Nike Dunk Low Needlework Sail Aura (W)</v>
      </c>
      <c r="G58" t="str">
        <f>F58 &amp; ", " &amp; '[1]Основной сток'!H55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сток'!J55 &amp; " / RU " &amp;
INDEX('[1]Размерная сетка'!$B$2:$B$40,MATCH('[1]Основной сток'!J55,'[1]Размерная сетка'!$A$2:$A$40,0)) &amp; " / US " &amp;
INDEX('[1]Размерная сетка'!$C$2:$C$40,MATCH('[1]Основной сток'!J55,'[1]Размерная сетка'!$A$2:$A$40,0)) &amp; " / см " &amp;
INDEX('[1]Размерная сетка'!$D$2:$D$40,MATCH('[1]Основной сток'!J55,'[1]Размерная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Needlework Sail Aura (W), FJ4553-133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58" s="8">
        <f>'[1]Основной сток'!L55</f>
        <v>12000</v>
      </c>
      <c r="I58" s="1" t="str" cm="1">
        <f t="array" ref="I58">VLOOKUP(INDEX('[1]Основной сток'!H:H,ROW()-3),[1]Фотки!A:B,2,FALSE)</f>
        <v>https://i.ibb.co/JwZdjhSF/1-1.jpg</v>
      </c>
      <c r="J58" t="s">
        <v>36</v>
      </c>
      <c r="K58" t="s">
        <v>37</v>
      </c>
      <c r="L58" t="str">
        <f t="shared" si="0"/>
        <v>Женская обувь</v>
      </c>
      <c r="M58" t="s">
        <v>38</v>
      </c>
      <c r="N58" t="s">
        <v>39</v>
      </c>
      <c r="O58" t="str">
        <f>PROPER('[1]Основной сток'!F55)</f>
        <v>Nike</v>
      </c>
      <c r="P58" t="str">
        <f>'[1]Основной сток'!M55</f>
        <v>Серый</v>
      </c>
      <c r="R58" t="s">
        <v>41</v>
      </c>
      <c r="S58" t="s">
        <v>42</v>
      </c>
      <c r="T58" t="str">
        <f t="shared" si="1"/>
        <v>Кроссовки и кеды</v>
      </c>
      <c r="U58">
        <f>'[1]Основной сток'!J55 - 1</f>
        <v>38</v>
      </c>
      <c r="V58" t="s">
        <v>43</v>
      </c>
      <c r="X58" t="s">
        <v>44</v>
      </c>
      <c r="Y58" t="s">
        <v>45</v>
      </c>
    </row>
    <row r="59" spans="1:25" x14ac:dyDescent="0.15">
      <c r="A59" s="6">
        <f>'[1]Основной сток'!A56</f>
        <v>1486262</v>
      </c>
      <c r="B59" t="s">
        <v>33</v>
      </c>
      <c r="D59" t="s">
        <v>34</v>
      </c>
      <c r="E59" t="s">
        <v>35</v>
      </c>
      <c r="F59" s="7" t="str">
        <f>PROPER(LEFT('[1]Основной сток'!I56,FIND(CHAR(10),'[1]Основной сток'!I56&amp;CHAR(10))-1))</f>
        <v>Nike Dunk Low Essential Paisley Pack Pink (W)</v>
      </c>
      <c r="G59" t="str">
        <f>F59 &amp; ", " &amp; '[1]Основной сток'!H56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сток'!J56 &amp; " / RU " &amp;
INDEX('[1]Размерная сетка'!$B$2:$B$40,MATCH('[1]Основной сток'!J56,'[1]Размерная сетка'!$A$2:$A$40,0)) &amp; " / US " &amp;
INDEX('[1]Размерная сетка'!$C$2:$C$40,MATCH('[1]Основной сток'!J56,'[1]Размерная сетка'!$A$2:$A$40,0)) &amp; " / см " &amp;
INDEX('[1]Размерная сетка'!$D$2:$D$40,MATCH('[1]Основной сток'!J56,'[1]Размерная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Essential Paisley Pack Pink (W), FD1449-100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59" s="8">
        <f>'[1]Основной сток'!L56</f>
        <v>15000</v>
      </c>
      <c r="I59" s="1" t="str" cm="1">
        <f t="array" ref="I59">VLOOKUP(INDEX('[1]Основной сток'!H:H,ROW()-3),[1]Фотки!A:B,2,FALSE)</f>
        <v>https://i.ibb.co/35QK4CdT/1.jpg</v>
      </c>
      <c r="J59" t="s">
        <v>36</v>
      </c>
      <c r="K59" t="s">
        <v>37</v>
      </c>
      <c r="L59" t="str">
        <f t="shared" si="0"/>
        <v>Женская обувь</v>
      </c>
      <c r="M59" t="s">
        <v>38</v>
      </c>
      <c r="N59" t="s">
        <v>39</v>
      </c>
      <c r="O59" t="str">
        <f>PROPER('[1]Основной сток'!F56)</f>
        <v>Nike</v>
      </c>
      <c r="P59" t="str">
        <f>'[1]Основной сток'!M56</f>
        <v>Розовый</v>
      </c>
      <c r="R59" t="s">
        <v>41</v>
      </c>
      <c r="S59" t="s">
        <v>42</v>
      </c>
      <c r="T59" t="str">
        <f t="shared" si="1"/>
        <v>Кроссовки и кеды</v>
      </c>
      <c r="U59">
        <f>'[1]Основной сток'!J56 - 1</f>
        <v>37.5</v>
      </c>
      <c r="V59" t="s">
        <v>43</v>
      </c>
      <c r="X59" t="s">
        <v>44</v>
      </c>
      <c r="Y59" t="s">
        <v>45</v>
      </c>
    </row>
    <row r="60" spans="1:25" x14ac:dyDescent="0.15">
      <c r="A60" s="6">
        <f>'[1]Основной сток'!A57</f>
        <v>1486265</v>
      </c>
      <c r="B60" t="s">
        <v>33</v>
      </c>
      <c r="D60" t="s">
        <v>34</v>
      </c>
      <c r="E60" t="s">
        <v>35</v>
      </c>
      <c r="F60" s="7" t="str">
        <f>PROPER(LEFT('[1]Основной сток'!I57,FIND(CHAR(10),'[1]Основной сток'!I57&amp;CHAR(10))-1))</f>
        <v>Air Jordan 1 Retro High Og Lucky Green (Gs)</v>
      </c>
      <c r="G60" t="str">
        <f>F60 &amp; ", " &amp; '[1]Основной сток'!H57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сток'!J57 &amp; " / RU " &amp;
INDEX('[1]Размерная сетка'!$B$2:$B$40,MATCH('[1]Основной сток'!J57,'[1]Размерная сетка'!$A$2:$A$40,0)) &amp; " / US " &amp;
INDEX('[1]Размерная сетка'!$C$2:$C$40,MATCH('[1]Основной сток'!J57,'[1]Размерная сетка'!$A$2:$A$40,0)) &amp; " / см " &amp;
INDEX('[1]Размерная сетка'!$D$2:$D$40,MATCH('[1]Основной сток'!J57,'[1]Размерная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Retro High Og Lucky Green (Gs), FD1437-031
• В наличии в Москве
• Оригинал, можно проверить при получении
• Совершенно новые, полный комплект
• Размер: EU 36,5 / RU 35,5 / US 6 / см 22,7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60" s="8">
        <f>'[1]Основной сток'!L57</f>
        <v>12000</v>
      </c>
      <c r="I60" s="1" t="str" cm="1">
        <f t="array" ref="I60">VLOOKUP(INDEX('[1]Основной сток'!H:H,ROW()-3),[1]Фотки!A:B,2,FALSE)</f>
        <v>https://i.ibb.co/jvG6gHyj/1-1.jpg</v>
      </c>
      <c r="J60" t="s">
        <v>36</v>
      </c>
      <c r="K60" t="s">
        <v>37</v>
      </c>
      <c r="L60" t="str">
        <f t="shared" si="0"/>
        <v>Женская обувь</v>
      </c>
      <c r="M60" t="s">
        <v>38</v>
      </c>
      <c r="N60" t="s">
        <v>39</v>
      </c>
      <c r="O60" t="str">
        <f>PROPER('[1]Основной сток'!F57)</f>
        <v>Jordan</v>
      </c>
      <c r="P60" t="str">
        <f>'[1]Основной сток'!M57</f>
        <v>Зелёный</v>
      </c>
      <c r="R60" t="s">
        <v>41</v>
      </c>
      <c r="S60" t="s">
        <v>42</v>
      </c>
      <c r="T60" t="str">
        <f t="shared" si="1"/>
        <v>Кроссовки и кеды</v>
      </c>
      <c r="U60">
        <f>'[1]Основной сток'!J57 - 1</f>
        <v>35.5</v>
      </c>
      <c r="V60" t="s">
        <v>43</v>
      </c>
      <c r="X60" t="s">
        <v>44</v>
      </c>
      <c r="Y60" t="s">
        <v>45</v>
      </c>
    </row>
    <row r="61" spans="1:25" x14ac:dyDescent="0.15">
      <c r="A61" s="6">
        <f>'[1]Основной сток'!A58</f>
        <v>1486267</v>
      </c>
      <c r="B61" t="s">
        <v>33</v>
      </c>
      <c r="D61" t="s">
        <v>34</v>
      </c>
      <c r="E61" t="s">
        <v>35</v>
      </c>
      <c r="F61" s="7" t="str">
        <f>PROPER(LEFT('[1]Основной сток'!I58,FIND(CHAR(10),'[1]Основной сток'!I58&amp;CHAR(10))-1))</f>
        <v>Air Jordan 1 Retro High Og Lucky Green (Gs)</v>
      </c>
      <c r="G61" t="str">
        <f>F61 &amp; ", " &amp; '[1]Основной сток'!H58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сток'!J58 &amp; " / RU " &amp;
INDEX('[1]Размерная сетка'!$B$2:$B$40,MATCH('[1]Основной сток'!J58,'[1]Размерная сетка'!$A$2:$A$40,0)) &amp; " / US " &amp;
INDEX('[1]Размерная сетка'!$C$2:$C$40,MATCH('[1]Основной сток'!J58,'[1]Размерная сетка'!$A$2:$A$40,0)) &amp; " / см " &amp;
INDEX('[1]Размерная сетка'!$D$2:$D$40,MATCH('[1]Основной сток'!J58,'[1]Размерная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Retro High Og Lucky Green (Gs), FD1437-031
• В наличии в Москве
• Оригинал, можно проверить при получении
• Совершенно новые, полный комплект
• Размер: EU 37,5 / RU 36,5 / US 6,5-7 / см 23,3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61" s="8">
        <f>'[1]Основной сток'!L58</f>
        <v>12000</v>
      </c>
      <c r="I61" s="1" t="str" cm="1">
        <f t="array" ref="I61">VLOOKUP(INDEX('[1]Основной сток'!H:H,ROW()-3),[1]Фотки!A:B,2,FALSE)</f>
        <v>https://i.ibb.co/jvG6gHyj/1-1.jpg</v>
      </c>
      <c r="J61" t="s">
        <v>36</v>
      </c>
      <c r="K61" t="s">
        <v>37</v>
      </c>
      <c r="L61" t="str">
        <f t="shared" si="0"/>
        <v>Женская обувь</v>
      </c>
      <c r="M61" t="s">
        <v>38</v>
      </c>
      <c r="N61" t="s">
        <v>39</v>
      </c>
      <c r="O61" t="str">
        <f>PROPER('[1]Основной сток'!F58)</f>
        <v>Jordan</v>
      </c>
      <c r="P61" t="str">
        <f>'[1]Основной сток'!M58</f>
        <v>Зелёный</v>
      </c>
      <c r="R61" t="s">
        <v>41</v>
      </c>
      <c r="S61" t="s">
        <v>42</v>
      </c>
      <c r="T61" t="str">
        <f t="shared" si="1"/>
        <v>Кроссовки и кеды</v>
      </c>
      <c r="U61">
        <f>'[1]Основной сток'!J58 - 1</f>
        <v>36.5</v>
      </c>
      <c r="V61" t="s">
        <v>43</v>
      </c>
      <c r="X61" t="s">
        <v>44</v>
      </c>
      <c r="Y61" t="s">
        <v>45</v>
      </c>
    </row>
    <row r="62" spans="1:25" x14ac:dyDescent="0.15">
      <c r="A62" s="6">
        <f>'[1]Основной сток'!A59</f>
        <v>1486268</v>
      </c>
      <c r="B62" t="s">
        <v>33</v>
      </c>
      <c r="D62" t="s">
        <v>34</v>
      </c>
      <c r="E62" t="s">
        <v>35</v>
      </c>
      <c r="F62" s="7" t="str">
        <f>PROPER(LEFT('[1]Основной сток'!I59,FIND(CHAR(10),'[1]Основной сток'!I59&amp;CHAR(10))-1))</f>
        <v>Air Jordan 1 Retro High Og Lucky Green (Gs)</v>
      </c>
      <c r="G62" t="str">
        <f>F62 &amp; ", " &amp; '[1]Основной сток'!H59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сток'!J59 &amp; " / RU " &amp;
INDEX('[1]Размерная сетка'!$B$2:$B$40,MATCH('[1]Основной сток'!J59,'[1]Размерная сетка'!$A$2:$A$40,0)) &amp; " / US " &amp;
INDEX('[1]Размерная сетка'!$C$2:$C$40,MATCH('[1]Основной сток'!J59,'[1]Размерная сетка'!$A$2:$A$40,0)) &amp; " / см " &amp;
INDEX('[1]Размерная сетка'!$D$2:$D$40,MATCH('[1]Основной сток'!J59,'[1]Размерная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Retro High Og Lucky Green (Gs), FD1437-031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62" s="8">
        <f>'[1]Основной сток'!L59</f>
        <v>12000</v>
      </c>
      <c r="I62" s="1" t="str" cm="1">
        <f t="array" ref="I62">VLOOKUP(INDEX('[1]Основной сток'!H:H,ROW()-3),[1]Фотки!A:B,2,FALSE)</f>
        <v>https://i.ibb.co/jvG6gHyj/1-1.jpg</v>
      </c>
      <c r="J62" t="s">
        <v>36</v>
      </c>
      <c r="K62" t="s">
        <v>37</v>
      </c>
      <c r="L62" t="str">
        <f t="shared" si="0"/>
        <v>Женская обувь</v>
      </c>
      <c r="M62" t="s">
        <v>38</v>
      </c>
      <c r="N62" t="s">
        <v>39</v>
      </c>
      <c r="O62" t="str">
        <f>PROPER('[1]Основной сток'!F59)</f>
        <v>Jordan</v>
      </c>
      <c r="P62" t="str">
        <f>'[1]Основной сток'!M59</f>
        <v>Зелёный</v>
      </c>
      <c r="R62" t="s">
        <v>41</v>
      </c>
      <c r="S62" t="s">
        <v>42</v>
      </c>
      <c r="T62" t="str">
        <f t="shared" si="1"/>
        <v>Кроссовки и кеды</v>
      </c>
      <c r="U62">
        <f>'[1]Основной сток'!J59 - 1</f>
        <v>37</v>
      </c>
      <c r="V62" t="s">
        <v>43</v>
      </c>
      <c r="X62" t="s">
        <v>44</v>
      </c>
      <c r="Y62" t="s">
        <v>45</v>
      </c>
    </row>
    <row r="63" spans="1:25" x14ac:dyDescent="0.15">
      <c r="A63" s="6">
        <f>'[1]Основной сток'!A60</f>
        <v>1486269</v>
      </c>
      <c r="B63" t="s">
        <v>33</v>
      </c>
      <c r="D63" t="s">
        <v>34</v>
      </c>
      <c r="E63" t="s">
        <v>35</v>
      </c>
      <c r="F63" s="7" t="str">
        <f>PROPER(LEFT('[1]Основной сток'!I60,FIND(CHAR(10),'[1]Основной сток'!I60&amp;CHAR(10))-1))</f>
        <v>Air Jordan 1 Retro High Og Lucky Green (Gs)</v>
      </c>
      <c r="G63" t="str">
        <f>F63 &amp; ", " &amp; '[1]Основной сток'!H60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сток'!J60 &amp; " / RU " &amp;
INDEX('[1]Размерная сетка'!$B$2:$B$40,MATCH('[1]Основной сток'!J60,'[1]Размерная сетка'!$A$2:$A$40,0)) &amp; " / US " &amp;
INDEX('[1]Размерная сетка'!$C$2:$C$40,MATCH('[1]Основной сток'!J60,'[1]Размерная сетка'!$A$2:$A$40,0)) &amp; " / см " &amp;
INDEX('[1]Размерная сетка'!$D$2:$D$40,MATCH('[1]Основной сток'!J60,'[1]Размерная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Retro High Og Lucky Green (Gs), FD1437-031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63" s="8">
        <f>'[1]Основной сток'!L60</f>
        <v>12000</v>
      </c>
      <c r="I63" s="1" t="str" cm="1">
        <f t="array" ref="I63">VLOOKUP(INDEX('[1]Основной сток'!H:H,ROW()-3),[1]Фотки!A:B,2,FALSE)</f>
        <v>https://i.ibb.co/jvG6gHyj/1-1.jpg</v>
      </c>
      <c r="J63" t="s">
        <v>36</v>
      </c>
      <c r="K63" t="s">
        <v>37</v>
      </c>
      <c r="L63" t="str">
        <f t="shared" si="0"/>
        <v>Женская обувь</v>
      </c>
      <c r="M63" t="s">
        <v>38</v>
      </c>
      <c r="N63" t="s">
        <v>39</v>
      </c>
      <c r="O63" t="str">
        <f>PROPER('[1]Основной сток'!F60)</f>
        <v>Jordan</v>
      </c>
      <c r="P63" t="str">
        <f>'[1]Основной сток'!M60</f>
        <v>Зелёный</v>
      </c>
      <c r="R63" t="s">
        <v>41</v>
      </c>
      <c r="S63" t="s">
        <v>42</v>
      </c>
      <c r="T63" t="str">
        <f t="shared" si="1"/>
        <v>Кроссовки и кеды</v>
      </c>
      <c r="U63">
        <f>'[1]Основной сток'!J60 - 1</f>
        <v>37</v>
      </c>
      <c r="V63" t="s">
        <v>43</v>
      </c>
      <c r="X63" t="s">
        <v>44</v>
      </c>
      <c r="Y63" t="s">
        <v>45</v>
      </c>
    </row>
    <row r="64" spans="1:25" x14ac:dyDescent="0.15">
      <c r="A64" s="6">
        <f>'[1]Основной сток'!A61</f>
        <v>1486271</v>
      </c>
      <c r="B64" t="s">
        <v>33</v>
      </c>
      <c r="D64" t="s">
        <v>34</v>
      </c>
      <c r="E64" t="s">
        <v>35</v>
      </c>
      <c r="F64" s="7" t="str">
        <f>PROPER(LEFT('[1]Основной сток'!I61,FIND(CHAR(10),'[1]Основной сток'!I61&amp;CHAR(10))-1))</f>
        <v>Air Jordan 1 Retro High Og Lucky Green (Gs)</v>
      </c>
      <c r="G64" t="str">
        <f>F64 &amp; ", " &amp; '[1]Основной сток'!H61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сток'!J61 &amp; " / RU " &amp;
INDEX('[1]Размерная сетка'!$B$2:$B$40,MATCH('[1]Основной сток'!J61,'[1]Размерная сетка'!$A$2:$A$40,0)) &amp; " / US " &amp;
INDEX('[1]Размерная сетка'!$C$2:$C$40,MATCH('[1]Основной сток'!J61,'[1]Размерная сетка'!$A$2:$A$40,0)) &amp; " / см " &amp;
INDEX('[1]Размерная сетка'!$D$2:$D$40,MATCH('[1]Основной сток'!J61,'[1]Размерная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Retro High Og Lucky Green (Gs), FD1437-031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64" s="8">
        <f>'[1]Основной сток'!L61</f>
        <v>12000</v>
      </c>
      <c r="I64" s="1" t="str" cm="1">
        <f t="array" ref="I64">VLOOKUP(INDEX('[1]Основной сток'!H:H,ROW()-3),[1]Фотки!A:B,2,FALSE)</f>
        <v>https://i.ibb.co/jvG6gHyj/1-1.jpg</v>
      </c>
      <c r="J64" t="s">
        <v>36</v>
      </c>
      <c r="K64" t="s">
        <v>37</v>
      </c>
      <c r="L64" t="str">
        <f t="shared" si="0"/>
        <v>Женская обувь</v>
      </c>
      <c r="M64" t="s">
        <v>38</v>
      </c>
      <c r="N64" t="s">
        <v>39</v>
      </c>
      <c r="O64" t="str">
        <f>PROPER('[1]Основной сток'!F61)</f>
        <v>Jordan</v>
      </c>
      <c r="P64" t="str">
        <f>'[1]Основной сток'!M61</f>
        <v>Зелёный</v>
      </c>
      <c r="R64" t="s">
        <v>41</v>
      </c>
      <c r="S64" t="s">
        <v>42</v>
      </c>
      <c r="T64" t="str">
        <f t="shared" si="1"/>
        <v>Кроссовки и кеды</v>
      </c>
      <c r="U64">
        <f>'[1]Основной сток'!J61 - 1</f>
        <v>37.5</v>
      </c>
      <c r="V64" t="s">
        <v>43</v>
      </c>
      <c r="X64" t="s">
        <v>44</v>
      </c>
      <c r="Y64" t="s">
        <v>45</v>
      </c>
    </row>
    <row r="65" spans="1:25" x14ac:dyDescent="0.15">
      <c r="A65" s="6">
        <f>'[1]Основной сток'!A62</f>
        <v>1486272</v>
      </c>
      <c r="B65" t="s">
        <v>33</v>
      </c>
      <c r="D65" t="s">
        <v>34</v>
      </c>
      <c r="E65" t="s">
        <v>35</v>
      </c>
      <c r="F65" s="7" t="str">
        <f>PROPER(LEFT('[1]Основной сток'!I62,FIND(CHAR(10),'[1]Основной сток'!I62&amp;CHAR(10))-1))</f>
        <v>Air Jordan 1 Retro High Og Lucky Green (Gs)</v>
      </c>
      <c r="G65" t="str">
        <f>F65 &amp; ", " &amp; '[1]Основной сток'!H62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сток'!J62 &amp; " / RU " &amp;
INDEX('[1]Размерная сетка'!$B$2:$B$40,MATCH('[1]Основной сток'!J62,'[1]Размерная сетка'!$A$2:$A$40,0)) &amp; " / US " &amp;
INDEX('[1]Размерная сетка'!$C$2:$C$40,MATCH('[1]Основной сток'!J62,'[1]Размерная сетка'!$A$2:$A$40,0)) &amp; " / см " &amp;
INDEX('[1]Размерная сетка'!$D$2:$D$40,MATCH('[1]Основной сток'!J62,'[1]Размерная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Retro High Og Lucky Green (Gs), FD1437-031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65" s="8">
        <f>'[1]Основной сток'!L62</f>
        <v>12000</v>
      </c>
      <c r="I65" s="1" t="str" cm="1">
        <f t="array" ref="I65">VLOOKUP(INDEX('[1]Основной сток'!H:H,ROW()-3),[1]Фотки!A:B,2,FALSE)</f>
        <v>https://i.ibb.co/jvG6gHyj/1-1.jpg</v>
      </c>
      <c r="J65" t="s">
        <v>36</v>
      </c>
      <c r="K65" t="s">
        <v>37</v>
      </c>
      <c r="L65" t="str">
        <f t="shared" si="0"/>
        <v>Женская обувь</v>
      </c>
      <c r="M65" t="s">
        <v>38</v>
      </c>
      <c r="N65" t="s">
        <v>39</v>
      </c>
      <c r="O65" t="str">
        <f>PROPER('[1]Основной сток'!F62)</f>
        <v>Jordan</v>
      </c>
      <c r="P65" t="str">
        <f>'[1]Основной сток'!M62</f>
        <v>Зелёный</v>
      </c>
      <c r="R65" t="s">
        <v>41</v>
      </c>
      <c r="S65" t="s">
        <v>42</v>
      </c>
      <c r="T65" t="str">
        <f t="shared" si="1"/>
        <v>Кроссовки и кеды</v>
      </c>
      <c r="U65">
        <f>'[1]Основной сток'!J62 - 1</f>
        <v>38</v>
      </c>
      <c r="V65" t="s">
        <v>43</v>
      </c>
      <c r="X65" t="s">
        <v>44</v>
      </c>
      <c r="Y65" t="s">
        <v>45</v>
      </c>
    </row>
    <row r="66" spans="1:25" x14ac:dyDescent="0.15">
      <c r="A66" s="6">
        <f>'[1]Основной сток'!A63</f>
        <v>1486273</v>
      </c>
      <c r="B66" t="s">
        <v>33</v>
      </c>
      <c r="D66" t="s">
        <v>34</v>
      </c>
      <c r="E66" t="s">
        <v>35</v>
      </c>
      <c r="F66" s="7" t="str">
        <f>PROPER(LEFT('[1]Основной сток'!I63,FIND(CHAR(10),'[1]Основной сток'!I63&amp;CHAR(10))-1))</f>
        <v>Air Jordan 1 Retro High Og Lucky Green (Gs)</v>
      </c>
      <c r="G66" t="str">
        <f>F66 &amp; ", " &amp; '[1]Основной сток'!H63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сток'!J63 &amp; " / RU " &amp;
INDEX('[1]Размерная сетка'!$B$2:$B$40,MATCH('[1]Основной сток'!J63,'[1]Размерная сетка'!$A$2:$A$40,0)) &amp; " / US " &amp;
INDEX('[1]Размерная сетка'!$C$2:$C$40,MATCH('[1]Основной сток'!J63,'[1]Размерная сетка'!$A$2:$A$40,0)) &amp; " / см " &amp;
INDEX('[1]Размерная сетка'!$D$2:$D$40,MATCH('[1]Основной сток'!J63,'[1]Размерная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Retro High Og Lucky Green (Gs), FD1437-031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66" s="8">
        <f>'[1]Основной сток'!L63</f>
        <v>12000</v>
      </c>
      <c r="I66" s="1" t="str" cm="1">
        <f t="array" ref="I66">VLOOKUP(INDEX('[1]Основной сток'!H:H,ROW()-3),[1]Фотки!A:B,2,FALSE)</f>
        <v>https://i.ibb.co/jvG6gHyj/1-1.jpg</v>
      </c>
      <c r="J66" t="s">
        <v>36</v>
      </c>
      <c r="K66" t="s">
        <v>37</v>
      </c>
      <c r="L66" t="str">
        <f t="shared" si="0"/>
        <v>Женская обувь</v>
      </c>
      <c r="M66" t="s">
        <v>38</v>
      </c>
      <c r="N66" t="s">
        <v>39</v>
      </c>
      <c r="O66" t="str">
        <f>PROPER('[1]Основной сток'!F63)</f>
        <v>Jordan</v>
      </c>
      <c r="P66" t="str">
        <f>'[1]Основной сток'!M63</f>
        <v>Зелёный</v>
      </c>
      <c r="R66" t="s">
        <v>41</v>
      </c>
      <c r="S66" t="s">
        <v>42</v>
      </c>
      <c r="T66" t="str">
        <f t="shared" si="1"/>
        <v>Кроссовки и кеды</v>
      </c>
      <c r="U66">
        <f>'[1]Основной сток'!J63 - 1</f>
        <v>38</v>
      </c>
      <c r="V66" t="s">
        <v>43</v>
      </c>
      <c r="X66" t="s">
        <v>44</v>
      </c>
      <c r="Y66" t="s">
        <v>45</v>
      </c>
    </row>
    <row r="67" spans="1:25" x14ac:dyDescent="0.15">
      <c r="A67" s="6">
        <f>'[1]Основной сток'!A64</f>
        <v>1490377</v>
      </c>
      <c r="B67" t="s">
        <v>33</v>
      </c>
      <c r="D67" t="s">
        <v>34</v>
      </c>
      <c r="E67" t="s">
        <v>35</v>
      </c>
      <c r="F67" s="7" t="str">
        <f>PROPER(LEFT('[1]Основной сток'!I64,FIND(CHAR(10),'[1]Основной сток'!I64&amp;CHAR(10))-1))</f>
        <v>Air Jordan 1 Mid Lucky Green (Gs)</v>
      </c>
      <c r="G67" t="str">
        <f>F67 &amp; ", " &amp; '[1]Основной сток'!H64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сток'!J64 &amp; " / RU " &amp;
INDEX('[1]Размерная сетка'!$B$2:$B$40,MATCH('[1]Основной сток'!J64,'[1]Размерная сетка'!$A$2:$A$40,0)) &amp; " / US " &amp;
INDEX('[1]Размерная сетка'!$C$2:$C$40,MATCH('[1]Основной сток'!J64,'[1]Размерная сетка'!$A$2:$A$40,0)) &amp; " / см " &amp;
INDEX('[1]Размерная сетка'!$D$2:$D$40,MATCH('[1]Основной сток'!J64,'[1]Размерная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Mid Lucky Green (Gs), DQ8423-301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67" s="8">
        <f>'[1]Основной сток'!L64</f>
        <v>13000</v>
      </c>
      <c r="I67" s="1" t="str" cm="1">
        <f t="array" ref="I67">VLOOKUP(INDEX('[1]Основной сток'!H:H,ROW()-3),[1]Фотки!A:B,2,FALSE)</f>
        <v>https://i.ibb.co/PvrpMYHt/1.jpg|https://i.ibb.co/V0sTvmw7/2.jpg|https://i.ibb.co/NztBLCn/3.jpg|https://i.ibb.co/Wp513WFR/4.jpg</v>
      </c>
      <c r="J67" t="s">
        <v>36</v>
      </c>
      <c r="K67" t="s">
        <v>37</v>
      </c>
      <c r="L67" t="str">
        <f t="shared" si="0"/>
        <v>Женская обувь</v>
      </c>
      <c r="M67" t="s">
        <v>38</v>
      </c>
      <c r="N67" t="s">
        <v>39</v>
      </c>
      <c r="O67" t="str">
        <f>PROPER('[1]Основной сток'!F64)</f>
        <v>Jordan</v>
      </c>
      <c r="P67" t="str">
        <f>'[1]Основной сток'!M64</f>
        <v>Зелёный</v>
      </c>
      <c r="R67" t="s">
        <v>41</v>
      </c>
      <c r="S67" t="s">
        <v>42</v>
      </c>
      <c r="T67" t="str">
        <f t="shared" si="1"/>
        <v>Кроссовки и кеды</v>
      </c>
      <c r="U67">
        <f>'[1]Основной сток'!J64 - 1</f>
        <v>38</v>
      </c>
      <c r="V67" t="s">
        <v>43</v>
      </c>
      <c r="X67" t="s">
        <v>44</v>
      </c>
      <c r="Y67" t="s">
        <v>45</v>
      </c>
    </row>
    <row r="68" spans="1:25" x14ac:dyDescent="0.15">
      <c r="A68" s="6">
        <f>'[1]Основной сток'!A65</f>
        <v>1494447</v>
      </c>
      <c r="B68" t="s">
        <v>33</v>
      </c>
      <c r="D68" t="s">
        <v>34</v>
      </c>
      <c r="E68" t="s">
        <v>35</v>
      </c>
      <c r="F68" s="7" t="str">
        <f>PROPER(LEFT('[1]Основной сток'!I65,FIND(CHAR(10),'[1]Основной сток'!I65&amp;CHAR(10))-1))</f>
        <v>Nike Dunk Low Needlework Sail Aura (W)</v>
      </c>
      <c r="G68" t="str">
        <f>F68 &amp; ", " &amp; '[1]Основной сток'!H65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сток'!J65 &amp; " / RU " &amp;
INDEX('[1]Размерная сетка'!$B$2:$B$40,MATCH('[1]Основной сток'!J65,'[1]Размерная сетка'!$A$2:$A$40,0)) &amp; " / US " &amp;
INDEX('[1]Размерная сетка'!$C$2:$C$40,MATCH('[1]Основной сток'!J65,'[1]Размерная сетка'!$A$2:$A$40,0)) &amp; " / см " &amp;
INDEX('[1]Размерная сетка'!$D$2:$D$40,MATCH('[1]Основной сток'!J65,'[1]Размерная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Needlework Sail Aura (W), FJ4553-133
• В наличии в Москве
• Оригинал, можно проверить при получении
• Совершенно новые, полный комплект
• Размер: EU 37,5 / RU 36,5 / US 6,5-7 / см 23,3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68" s="8">
        <f>'[1]Основной сток'!L65</f>
        <v>12000</v>
      </c>
      <c r="I68" s="1" t="str" cm="1">
        <f t="array" ref="I68">VLOOKUP(INDEX('[1]Основной сток'!H:H,ROW()-3),[1]Фотки!A:B,2,FALSE)</f>
        <v>https://i.ibb.co/JwZdjhSF/1-1.jpg</v>
      </c>
      <c r="J68" t="s">
        <v>36</v>
      </c>
      <c r="K68" t="s">
        <v>37</v>
      </c>
      <c r="L68" t="str">
        <f t="shared" si="0"/>
        <v>Женская обувь</v>
      </c>
      <c r="M68" t="s">
        <v>38</v>
      </c>
      <c r="N68" t="s">
        <v>39</v>
      </c>
      <c r="O68" t="str">
        <f>PROPER('[1]Основной сток'!F65)</f>
        <v>Nike</v>
      </c>
      <c r="P68" t="str">
        <f>'[1]Основной сток'!M65</f>
        <v>Серый</v>
      </c>
      <c r="R68" t="s">
        <v>41</v>
      </c>
      <c r="S68" t="s">
        <v>42</v>
      </c>
      <c r="T68" t="str">
        <f t="shared" si="1"/>
        <v>Кроссовки и кеды</v>
      </c>
      <c r="U68">
        <f>'[1]Основной сток'!J65 - 1</f>
        <v>36.5</v>
      </c>
      <c r="V68" t="s">
        <v>43</v>
      </c>
      <c r="X68" t="s">
        <v>44</v>
      </c>
      <c r="Y68" t="s">
        <v>45</v>
      </c>
    </row>
    <row r="69" spans="1:25" x14ac:dyDescent="0.15">
      <c r="A69" s="6">
        <f>'[1]Основной сток'!A66</f>
        <v>1510503</v>
      </c>
      <c r="B69" t="s">
        <v>33</v>
      </c>
      <c r="D69" t="s">
        <v>34</v>
      </c>
      <c r="E69" t="s">
        <v>35</v>
      </c>
      <c r="F69" s="7" t="str">
        <f>PROPER(LEFT('[1]Основной сток'!I66,FIND(CHAR(10),'[1]Основной сток'!I66&amp;CHAR(10))-1))</f>
        <v>Nike Dunk Low Photon Dust (W)</v>
      </c>
      <c r="G69" t="str">
        <f>F69 &amp; ", " &amp; '[1]Основной сток'!H66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сток'!J66 &amp; " / RU " &amp;
INDEX('[1]Размерная сетка'!$B$2:$B$40,MATCH('[1]Основной сток'!J66,'[1]Размерная сетка'!$A$2:$A$40,0)) &amp; " / US " &amp;
INDEX('[1]Размерная сетка'!$C$2:$C$40,MATCH('[1]Основной сток'!J66,'[1]Размерная сетка'!$A$2:$A$40,0)) &amp; " / см " &amp;
INDEX('[1]Размерная сетка'!$D$2:$D$40,MATCH('[1]Основной сток'!J66,'[1]Размерная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Photon Dust (W), DD1503-103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69" s="8">
        <f>'[1]Основной сток'!L66</f>
        <v>20000</v>
      </c>
      <c r="I69" s="1" t="str" cm="1">
        <f t="array" ref="I69">VLOOKUP(INDEX('[1]Основной сток'!H:H,ROW()-3),[1]Фотки!A:B,2,FALSE)</f>
        <v>https://i.ibb.co/Xxh034ZG/1-1.jpg|https://i.ibb.co/CpJ6kQYn/2.jpg|https://i.ibb.co/cK8TGjK1/3.jpg|https://i.ibb.co/99b1PqF2/4.jpg</v>
      </c>
      <c r="J69" t="s">
        <v>36</v>
      </c>
      <c r="K69" t="s">
        <v>37</v>
      </c>
      <c r="L69" t="str">
        <f t="shared" si="0"/>
        <v>Женская обувь</v>
      </c>
      <c r="M69" t="s">
        <v>38</v>
      </c>
      <c r="N69" t="s">
        <v>39</v>
      </c>
      <c r="O69" t="str">
        <f>PROPER('[1]Основной сток'!F66)</f>
        <v>Nike</v>
      </c>
      <c r="P69" t="str">
        <f>'[1]Основной сток'!M66</f>
        <v>Серый</v>
      </c>
      <c r="R69" t="s">
        <v>41</v>
      </c>
      <c r="S69" t="s">
        <v>42</v>
      </c>
      <c r="T69" t="str">
        <f t="shared" si="1"/>
        <v>Кроссовки и кеды</v>
      </c>
      <c r="U69">
        <f>'[1]Основной сток'!J66 - 1</f>
        <v>38</v>
      </c>
      <c r="V69" t="s">
        <v>43</v>
      </c>
      <c r="X69" t="s">
        <v>44</v>
      </c>
      <c r="Y69" t="s">
        <v>45</v>
      </c>
    </row>
    <row r="70" spans="1:25" x14ac:dyDescent="0.15">
      <c r="A70" s="6">
        <f>'[1]Основной сток'!A67</f>
        <v>1510505</v>
      </c>
      <c r="B70" t="s">
        <v>33</v>
      </c>
      <c r="D70" t="s">
        <v>34</v>
      </c>
      <c r="E70" t="s">
        <v>35</v>
      </c>
      <c r="F70" s="7" t="str">
        <f>PROPER(LEFT('[1]Основной сток'!I67,FIND(CHAR(10),'[1]Основной сток'!I67&amp;CHAR(10))-1))</f>
        <v>Nike Dunk Low Photon Dust (W)</v>
      </c>
      <c r="G70" t="str">
        <f>F70 &amp; ", " &amp; '[1]Основной сток'!H67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сток'!J67 &amp; " / RU " &amp;
INDEX('[1]Размерная сетка'!$B$2:$B$40,MATCH('[1]Основной сток'!J67,'[1]Размерная сетка'!$A$2:$A$40,0)) &amp; " / US " &amp;
INDEX('[1]Размерная сетка'!$C$2:$C$40,MATCH('[1]Основной сток'!J67,'[1]Размерная сетка'!$A$2:$A$40,0)) &amp; " / см " &amp;
INDEX('[1]Размерная сетка'!$D$2:$D$40,MATCH('[1]Основной сток'!J67,'[1]Размерная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Photon Dust (W), DD1503-103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70" s="8">
        <f>'[1]Основной сток'!L67</f>
        <v>20000</v>
      </c>
      <c r="I70" s="1" t="str" cm="1">
        <f t="array" ref="I70">VLOOKUP(INDEX('[1]Основной сток'!H:H,ROW()-3),[1]Фотки!A:B,2,FALSE)</f>
        <v>https://i.ibb.co/Xxh034ZG/1-1.jpg|https://i.ibb.co/CpJ6kQYn/2.jpg|https://i.ibb.co/cK8TGjK1/3.jpg|https://i.ibb.co/99b1PqF2/4.jpg</v>
      </c>
      <c r="J70" t="s">
        <v>36</v>
      </c>
      <c r="K70" t="s">
        <v>37</v>
      </c>
      <c r="L70" t="str">
        <f t="shared" ref="L70:L133" si="2">IF(U70&lt;=40,"Женская обувь","Мужская обувь")</f>
        <v>Женская обувь</v>
      </c>
      <c r="M70" t="s">
        <v>38</v>
      </c>
      <c r="N70" t="s">
        <v>39</v>
      </c>
      <c r="O70" t="str">
        <f>PROPER('[1]Основной сток'!F67)</f>
        <v>Nike</v>
      </c>
      <c r="P70" t="str">
        <f>'[1]Основной сток'!M67</f>
        <v>Серый</v>
      </c>
      <c r="R70" t="s">
        <v>41</v>
      </c>
      <c r="S70" t="s">
        <v>42</v>
      </c>
      <c r="T70" t="str">
        <f t="shared" si="1"/>
        <v>Кроссовки и кеды</v>
      </c>
      <c r="U70">
        <f>'[1]Основной сток'!J67 - 1</f>
        <v>39</v>
      </c>
      <c r="V70" t="s">
        <v>43</v>
      </c>
      <c r="X70" t="s">
        <v>44</v>
      </c>
      <c r="Y70" t="s">
        <v>45</v>
      </c>
    </row>
    <row r="71" spans="1:25" x14ac:dyDescent="0.15">
      <c r="A71" s="6">
        <f>'[1]Основной сток'!A68</f>
        <v>1514793</v>
      </c>
      <c r="B71" t="s">
        <v>33</v>
      </c>
      <c r="D71" t="s">
        <v>34</v>
      </c>
      <c r="E71" t="s">
        <v>35</v>
      </c>
      <c r="F71" s="7" t="str">
        <f>PROPER(LEFT('[1]Основной сток'!I68,FIND(CHAR(10),'[1]Основной сток'!I68&amp;CHAR(10))-1))</f>
        <v>Adidas Gazelle Indoor Cream Green</v>
      </c>
      <c r="G71" t="str">
        <f>F71 &amp; ", " &amp; '[1]Основной сток'!H68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сток'!J68 &amp; " / RU " &amp;
INDEX('[1]Размерная сетка'!$B$2:$B$40,MATCH('[1]Основной сток'!J68,'[1]Размерная сетка'!$A$2:$A$40,0)) &amp; " / US " &amp;
INDEX('[1]Размерная сетка'!$C$2:$C$40,MATCH('[1]Основной сток'!J68,'[1]Размерная сетка'!$A$2:$A$40,0)) &amp; " / см " &amp;
INDEX('[1]Размерная сетка'!$D$2:$D$40,MATCH('[1]Основной сток'!J68,'[1]Размерная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Indoor Cream Green, ID2567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71" s="8">
        <f>'[1]Основной сток'!L68</f>
        <v>20000</v>
      </c>
      <c r="I71" s="1" t="str" cm="1">
        <f t="array" ref="I71">VLOOKUP(INDEX('[1]Основной сток'!H:H,ROW()-3),[1]Фотки!A:B,2,FALSE)</f>
        <v>https://i.ibb.co/d0ZdTL7F/1.jpg|https://i.ibb.co/DD7d3pX9/2.jpg|https://i.ibb.co/pv5g4sMx/3.jpg|https://i.ibb.co/N2sZCPTD/4.jpg</v>
      </c>
      <c r="J71" t="s">
        <v>36</v>
      </c>
      <c r="K71" t="s">
        <v>37</v>
      </c>
      <c r="L71" t="str">
        <f t="shared" si="2"/>
        <v>Женская обувь</v>
      </c>
      <c r="M71" t="s">
        <v>38</v>
      </c>
      <c r="N71" t="s">
        <v>39</v>
      </c>
      <c r="O71" t="str">
        <f>PROPER('[1]Основной сток'!F68)</f>
        <v>Adidas</v>
      </c>
      <c r="P71" t="str">
        <f>'[1]Основной сток'!M68</f>
        <v>Зелёный</v>
      </c>
      <c r="R71" t="s">
        <v>41</v>
      </c>
      <c r="S71" t="s">
        <v>42</v>
      </c>
      <c r="T71" t="str">
        <f t="shared" ref="T71:T134" si="3">IF(L71="Мужская обувь","Кроссовки","Кроссовки и кеды")</f>
        <v>Кроссовки и кеды</v>
      </c>
      <c r="U71">
        <f>'[1]Основной сток'!J68 - 1</f>
        <v>37.5</v>
      </c>
      <c r="V71" t="s">
        <v>43</v>
      </c>
      <c r="X71" t="s">
        <v>44</v>
      </c>
      <c r="Y71" t="s">
        <v>45</v>
      </c>
    </row>
    <row r="72" spans="1:25" x14ac:dyDescent="0.15">
      <c r="A72" s="6">
        <f>'[1]Основной сток'!A69</f>
        <v>1516365</v>
      </c>
      <c r="B72" t="s">
        <v>33</v>
      </c>
      <c r="D72" t="s">
        <v>34</v>
      </c>
      <c r="E72" t="s">
        <v>35</v>
      </c>
      <c r="F72" s="7" t="str">
        <f>PROPER(LEFT('[1]Основной сток'!I69,FIND(CHAR(10),'[1]Основной сток'!I69&amp;CHAR(10))-1))</f>
        <v>Kith X Adidas Samba Og Classics Program White</v>
      </c>
      <c r="G72" t="str">
        <f>F72 &amp; ", " &amp; '[1]Основной сток'!H69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сток'!J69 &amp; " / RU " &amp;
INDEX('[1]Размерная сетка'!$B$2:$B$40,MATCH('[1]Основной сток'!J69,'[1]Размерная сетка'!$A$2:$A$40,0)) &amp; " / US " &amp;
INDEX('[1]Размерная сетка'!$C$2:$C$40,MATCH('[1]Основной сток'!J69,'[1]Размерная сетка'!$A$2:$A$40,0)) &amp; " / см " &amp;
INDEX('[1]Размерная сетка'!$D$2:$D$40,MATCH('[1]Основной сток'!J69,'[1]Размерная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Kith X Adidas Samba Og Classics Program White, FX5398
• В наличии в Москве
• Оригинал, можно проверить при получении
• Совершенно новые, полный комплект
• Размер: EU 42 / RU 41 / US 8,5 / см 26,3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72" s="8">
        <f>'[1]Основной сток'!L69</f>
        <v>13500</v>
      </c>
      <c r="I72" s="1" t="str" cm="1">
        <f t="array" ref="I72">VLOOKUP(INDEX('[1]Основной сток'!H:H,ROW()-3),[1]Фотки!A:B,2,FALSE)</f>
        <v>https://i.ibb.co/4g48c7hg/1-1.jpg|https://i.ibb.co/7dbY6zTc/2.jpg|https://i.ibb.co/fdQmcVs9/3.jpg|https://i.ibb.co/f57F2YX/4.jpg</v>
      </c>
      <c r="J72" t="s">
        <v>36</v>
      </c>
      <c r="K72" t="s">
        <v>37</v>
      </c>
      <c r="L72" t="str">
        <f t="shared" si="2"/>
        <v>Мужская обувь</v>
      </c>
      <c r="M72" t="s">
        <v>38</v>
      </c>
      <c r="N72" t="s">
        <v>39</v>
      </c>
      <c r="O72" t="str">
        <f>PROPER('[1]Основной сток'!F69)</f>
        <v>Adidas</v>
      </c>
      <c r="P72" t="str">
        <f>'[1]Основной сток'!M69</f>
        <v>Белый</v>
      </c>
      <c r="R72" t="s">
        <v>41</v>
      </c>
      <c r="S72" t="s">
        <v>42</v>
      </c>
      <c r="T72" t="str">
        <f t="shared" si="3"/>
        <v>Кроссовки</v>
      </c>
      <c r="U72">
        <f>'[1]Основной сток'!J69 - 1</f>
        <v>41</v>
      </c>
      <c r="V72" t="s">
        <v>43</v>
      </c>
      <c r="X72" t="s">
        <v>44</v>
      </c>
      <c r="Y72" t="s">
        <v>45</v>
      </c>
    </row>
    <row r="73" spans="1:25" x14ac:dyDescent="0.15">
      <c r="A73" s="6">
        <f>'[1]Основной сток'!A70</f>
        <v>1516366</v>
      </c>
      <c r="B73" t="s">
        <v>33</v>
      </c>
      <c r="D73" t="s">
        <v>34</v>
      </c>
      <c r="E73" t="s">
        <v>35</v>
      </c>
      <c r="F73" s="7" t="str">
        <f>PROPER(LEFT('[1]Основной сток'!I70,FIND(CHAR(10),'[1]Основной сток'!I70&amp;CHAR(10))-1))</f>
        <v>Adidas Gazelle Court Green Footwear White</v>
      </c>
      <c r="G73" t="str">
        <f>F73 &amp; ", " &amp; '[1]Основной сток'!H70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сток'!J70 &amp; " / RU " &amp;
INDEX('[1]Размерная сетка'!$B$2:$B$40,MATCH('[1]Основной сток'!J70,'[1]Размерная сетка'!$A$2:$A$40,0)) &amp; " / US " &amp;
INDEX('[1]Размерная сетка'!$C$2:$C$40,MATCH('[1]Основной сток'!J70,'[1]Размерная сетка'!$A$2:$A$40,0)) &amp; " / см " &amp;
INDEX('[1]Размерная сетка'!$D$2:$D$40,MATCH('[1]Основной сток'!J70,'[1]Размерная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Court Green Footwear White, IG0671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73" s="8">
        <f>'[1]Основной сток'!L70</f>
        <v>16000</v>
      </c>
      <c r="I73" s="1" t="str" cm="1">
        <f t="array" ref="I73">VLOOKUP(INDEX('[1]Основной сток'!H:H,ROW()-3),[1]Фотки!A:B,2,FALSE)</f>
        <v>https://i.ibb.co/gFD3ns0R/1.jpg|https://i.ibb.co/F4fDWkyC/2.jpg|https://i.ibb.co/gZ6ysT8t/3.jpg|https://i.ibb.co/wNk6xhDk/4.jpg</v>
      </c>
      <c r="J73" t="s">
        <v>36</v>
      </c>
      <c r="K73" t="s">
        <v>37</v>
      </c>
      <c r="L73" t="str">
        <f t="shared" si="2"/>
        <v>Женская обувь</v>
      </c>
      <c r="M73" t="s">
        <v>38</v>
      </c>
      <c r="N73" t="s">
        <v>39</v>
      </c>
      <c r="O73" t="str">
        <f>PROPER('[1]Основной сток'!F70)</f>
        <v>Adidas</v>
      </c>
      <c r="P73" t="str">
        <f>'[1]Основной сток'!M70</f>
        <v>Зелёный</v>
      </c>
      <c r="R73" t="s">
        <v>41</v>
      </c>
      <c r="S73" t="s">
        <v>42</v>
      </c>
      <c r="T73" t="str">
        <f t="shared" si="3"/>
        <v>Кроссовки и кеды</v>
      </c>
      <c r="U73">
        <f>'[1]Основной сток'!J70 - 1</f>
        <v>37</v>
      </c>
      <c r="V73" t="s">
        <v>43</v>
      </c>
      <c r="X73" t="s">
        <v>44</v>
      </c>
      <c r="Y73" t="s">
        <v>45</v>
      </c>
    </row>
    <row r="74" spans="1:25" x14ac:dyDescent="0.15">
      <c r="A74" s="6">
        <f>'[1]Основной сток'!A71</f>
        <v>1516370</v>
      </c>
      <c r="B74" t="s">
        <v>33</v>
      </c>
      <c r="D74" t="s">
        <v>34</v>
      </c>
      <c r="E74" t="s">
        <v>35</v>
      </c>
      <c r="F74" s="7" t="str">
        <f>PROPER(LEFT('[1]Основной сток'!I71,FIND(CHAR(10),'[1]Основной сток'!I71&amp;CHAR(10))-1))</f>
        <v>Adidas Samba Original White</v>
      </c>
      <c r="G74" t="str">
        <f>F74 &amp; ", " &amp; '[1]Основной сток'!H71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сток'!J71 &amp; " / RU " &amp;
INDEX('[1]Размерная сетка'!$B$2:$B$40,MATCH('[1]Основной сток'!J71,'[1]Размерная сетка'!$A$2:$A$40,0)) &amp; " / US " &amp;
INDEX('[1]Размерная сетка'!$C$2:$C$40,MATCH('[1]Основной сток'!J71,'[1]Размерная сетка'!$A$2:$A$40,0)) &amp; " / см " &amp;
INDEX('[1]Размерная сетка'!$D$2:$D$40,MATCH('[1]Основной сток'!J71,'[1]Размерная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Original White, 772109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74" s="8">
        <f>'[1]Основной сток'!L71</f>
        <v>22000</v>
      </c>
      <c r="I74" s="1" t="str" cm="1">
        <f t="array" ref="I74">VLOOKUP(INDEX('[1]Основной сток'!H:H,ROW()-3),[1]Фотки!A:B,2,FALSE)</f>
        <v>https://i.ibb.co/V0LxRH88/1-1.jpg|https://i.ibb.co/Ccghwnn/2.jpg|https://i.ibb.co/3yzdn8HJ/3.jpg|https://i.ibb.co/4RBysR3m/4.jpg</v>
      </c>
      <c r="J74" t="s">
        <v>36</v>
      </c>
      <c r="K74" t="s">
        <v>37</v>
      </c>
      <c r="L74" t="str">
        <f t="shared" si="2"/>
        <v>Женская обувь</v>
      </c>
      <c r="M74" t="s">
        <v>38</v>
      </c>
      <c r="N74" t="s">
        <v>39</v>
      </c>
      <c r="O74" t="str">
        <f>PROPER('[1]Основной сток'!F71)</f>
        <v>Adidas</v>
      </c>
      <c r="P74" t="str">
        <f>'[1]Основной сток'!M71</f>
        <v>Коричневый</v>
      </c>
      <c r="R74" t="s">
        <v>41</v>
      </c>
      <c r="S74" t="s">
        <v>42</v>
      </c>
      <c r="T74" t="str">
        <f t="shared" si="3"/>
        <v>Кроссовки и кеды</v>
      </c>
      <c r="U74">
        <f>'[1]Основной сток'!J71 - 1</f>
        <v>39</v>
      </c>
      <c r="V74" t="s">
        <v>43</v>
      </c>
      <c r="X74" t="s">
        <v>44</v>
      </c>
      <c r="Y74" t="s">
        <v>45</v>
      </c>
    </row>
    <row r="75" spans="1:25" x14ac:dyDescent="0.15">
      <c r="A75" s="6">
        <f>'[1]Основной сток'!A72</f>
        <v>1519225</v>
      </c>
      <c r="B75" t="s">
        <v>33</v>
      </c>
      <c r="D75" t="s">
        <v>34</v>
      </c>
      <c r="E75" t="s">
        <v>35</v>
      </c>
      <c r="F75" s="7" t="str">
        <f>PROPER(LEFT('[1]Основной сток'!I72,FIND(CHAR(10),'[1]Основной сток'!I72&amp;CHAR(10))-1))</f>
        <v>Air Jordan 1 Mid “Barely Rose”</v>
      </c>
      <c r="G75" t="str">
        <f>F75 &amp; ", " &amp; '[1]Основной сток'!H72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сток'!J72 &amp; " / RU " &amp;
INDEX('[1]Размерная сетка'!$B$2:$B$40,MATCH('[1]Основной сток'!J72,'[1]Размерная сетка'!$A$2:$A$40,0)) &amp; " / US " &amp;
INDEX('[1]Размерная сетка'!$C$2:$C$40,MATCH('[1]Основной сток'!J72,'[1]Размерная сетка'!$A$2:$A$40,0)) &amp; " / см " &amp;
INDEX('[1]Размерная сетка'!$D$2:$D$40,MATCH('[1]Основной сток'!J72,'[1]Размерная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Mid “Barely Rose”, BQ6472-500
• В наличии в Москве
• Оригинал, можно проверить при получении
• Совершенно новые, полный комплект
• Размер: EU 37,5 / RU 36,5 / US 6,5-7 / см 23,3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75" s="8">
        <f>'[1]Основной сток'!L72</f>
        <v>13000</v>
      </c>
      <c r="I75" s="1" t="str" cm="1">
        <f t="array" ref="I75">VLOOKUP(INDEX('[1]Основной сток'!H:H,ROW()-3),[1]Фотки!A:B,2,FALSE)</f>
        <v>https://i.ibb.co/wFRVTp77/1.jpg</v>
      </c>
      <c r="J75" t="s">
        <v>36</v>
      </c>
      <c r="K75" t="s">
        <v>37</v>
      </c>
      <c r="L75" t="str">
        <f t="shared" si="2"/>
        <v>Женская обувь</v>
      </c>
      <c r="M75" t="s">
        <v>38</v>
      </c>
      <c r="N75" t="s">
        <v>39</v>
      </c>
      <c r="O75" t="str">
        <f>PROPER('[1]Основной сток'!F72)</f>
        <v>Jordan</v>
      </c>
      <c r="P75" t="str">
        <f>'[1]Основной сток'!M72</f>
        <v>Розовый</v>
      </c>
      <c r="R75" t="s">
        <v>41</v>
      </c>
      <c r="S75" t="s">
        <v>42</v>
      </c>
      <c r="T75" t="str">
        <f t="shared" si="3"/>
        <v>Кроссовки и кеды</v>
      </c>
      <c r="U75">
        <f>'[1]Основной сток'!J72 - 1</f>
        <v>36.5</v>
      </c>
      <c r="V75" t="s">
        <v>43</v>
      </c>
      <c r="X75" t="s">
        <v>44</v>
      </c>
      <c r="Y75" t="s">
        <v>45</v>
      </c>
    </row>
    <row r="76" spans="1:25" x14ac:dyDescent="0.15">
      <c r="A76" s="6">
        <f>'[1]Основной сток'!A73</f>
        <v>1519230</v>
      </c>
      <c r="B76" t="s">
        <v>33</v>
      </c>
      <c r="D76" t="s">
        <v>34</v>
      </c>
      <c r="E76" t="s">
        <v>35</v>
      </c>
      <c r="F76" s="7" t="str">
        <f>PROPER(LEFT('[1]Основной сток'!I73,FIND(CHAR(10),'[1]Основной сток'!I73&amp;CHAR(10))-1))</f>
        <v>Nike Dunk High Aluminum (W)</v>
      </c>
      <c r="G76" t="str">
        <f>F76 &amp; ", " &amp; '[1]Основной сток'!H73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сток'!J73 &amp; " / RU " &amp;
INDEX('[1]Размерная сетка'!$B$2:$B$40,MATCH('[1]Основной сток'!J73,'[1]Размерная сетка'!$A$2:$A$40,0)) &amp; " / US " &amp;
INDEX('[1]Размерная сетка'!$C$2:$C$40,MATCH('[1]Основной сток'!J73,'[1]Размерная сетка'!$A$2:$A$40,0)) &amp; " / см " &amp;
INDEX('[1]Размерная сетка'!$D$2:$D$40,MATCH('[1]Основной сток'!J73,'[1]Размерная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High Aluminum (W), DD1869-107
• В наличии в Москве
• Оригинал, можно проверить при получении
• Совершенно новые, полный комплект
• Размер: EU 43 / RU 42 / US 9,5 / см 27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76" s="8">
        <f>'[1]Основной сток'!L73</f>
        <v>14000</v>
      </c>
      <c r="I76" s="1" t="str" cm="1">
        <f t="array" ref="I76">VLOOKUP(INDEX('[1]Основной сток'!H:H,ROW()-3),[1]Фотки!A:B,2,FALSE)</f>
        <v>https://i.ibb.co/3yPnRDpF/1-1.jpg|https://i.ibb.co/KxG910vF/2.jpg|https://i.ibb.co/CKvn3xWZ/3.jpg|https://i.ibb.co/kVvwxWHg/4.jpg</v>
      </c>
      <c r="J76" t="s">
        <v>36</v>
      </c>
      <c r="K76" t="s">
        <v>37</v>
      </c>
      <c r="L76" t="str">
        <f t="shared" si="2"/>
        <v>Мужская обувь</v>
      </c>
      <c r="M76" t="s">
        <v>38</v>
      </c>
      <c r="N76" t="s">
        <v>39</v>
      </c>
      <c r="O76" t="str">
        <f>PROPER('[1]Основной сток'!F73)</f>
        <v>Nike</v>
      </c>
      <c r="P76" t="str">
        <f>'[1]Основной сток'!M73</f>
        <v>Голубой</v>
      </c>
      <c r="R76" t="s">
        <v>41</v>
      </c>
      <c r="S76" t="s">
        <v>42</v>
      </c>
      <c r="T76" t="str">
        <f t="shared" si="3"/>
        <v>Кроссовки</v>
      </c>
      <c r="U76">
        <f>'[1]Основной сток'!J73 - 1</f>
        <v>42</v>
      </c>
      <c r="V76" t="s">
        <v>43</v>
      </c>
      <c r="X76" t="s">
        <v>44</v>
      </c>
      <c r="Y76" t="s">
        <v>45</v>
      </c>
    </row>
    <row r="77" spans="1:25" x14ac:dyDescent="0.15">
      <c r="A77" s="6">
        <f>'[1]Основной сток'!A74</f>
        <v>1519231</v>
      </c>
      <c r="B77" t="s">
        <v>33</v>
      </c>
      <c r="D77" t="s">
        <v>34</v>
      </c>
      <c r="E77" t="s">
        <v>35</v>
      </c>
      <c r="F77" s="7" t="str">
        <f>PROPER(LEFT('[1]Основной сток'!I74,FIND(CHAR(10),'[1]Основной сток'!I74&amp;CHAR(10))-1))</f>
        <v>Nike Dunk Low Archeo Pink (W)</v>
      </c>
      <c r="G77" t="str">
        <f>F77 &amp; ", " &amp; '[1]Основной сток'!H74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сток'!J74 &amp; " / RU " &amp;
INDEX('[1]Размерная сетка'!$B$2:$B$40,MATCH('[1]Основной сток'!J74,'[1]Размерная сетка'!$A$2:$A$40,0)) &amp; " / US " &amp;
INDEX('[1]Размерная сетка'!$C$2:$C$40,MATCH('[1]Основной сток'!J74,'[1]Размерная сетка'!$A$2:$A$40,0)) &amp; " / см " &amp;
INDEX('[1]Размерная сетка'!$D$2:$D$40,MATCH('[1]Основной сток'!J74,'[1]Размерная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Archeo Pink (W), DD1503-111
• В наличии в Москве
• Оригинал, можно проверить при получении
• Совершенно новые, полный комплект
• Размер: EU 42,5 / RU 41,5 / US 9 / см 26,7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77" s="8">
        <f>'[1]Основной сток'!L74</f>
        <v>14000</v>
      </c>
      <c r="I77" s="1" t="str" cm="1">
        <f t="array" ref="I77">VLOOKUP(INDEX('[1]Основной сток'!H:H,ROW()-3),[1]Фотки!A:B,2,FALSE)</f>
        <v>https://i.ibb.co/x8JVMvb5/1.jpg</v>
      </c>
      <c r="J77" t="s">
        <v>36</v>
      </c>
      <c r="K77" t="s">
        <v>37</v>
      </c>
      <c r="L77" t="str">
        <f t="shared" si="2"/>
        <v>Мужская обувь</v>
      </c>
      <c r="M77" t="s">
        <v>38</v>
      </c>
      <c r="N77" t="s">
        <v>39</v>
      </c>
      <c r="O77" t="str">
        <f>PROPER('[1]Основной сток'!F74)</f>
        <v>Nike</v>
      </c>
      <c r="P77" t="str">
        <f>'[1]Основной сток'!M74</f>
        <v>Красный</v>
      </c>
      <c r="R77" t="s">
        <v>41</v>
      </c>
      <c r="S77" t="s">
        <v>42</v>
      </c>
      <c r="T77" t="str">
        <f t="shared" si="3"/>
        <v>Кроссовки</v>
      </c>
      <c r="U77">
        <f>'[1]Основной сток'!J74 - 1</f>
        <v>41.5</v>
      </c>
      <c r="V77" t="s">
        <v>43</v>
      </c>
      <c r="X77" t="s">
        <v>44</v>
      </c>
      <c r="Y77" t="s">
        <v>45</v>
      </c>
    </row>
    <row r="78" spans="1:25" x14ac:dyDescent="0.15">
      <c r="A78" s="6">
        <f>'[1]Основной сток'!A75</f>
        <v>1524043</v>
      </c>
      <c r="B78" t="s">
        <v>33</v>
      </c>
      <c r="D78" t="s">
        <v>34</v>
      </c>
      <c r="E78" t="s">
        <v>35</v>
      </c>
      <c r="F78" s="7" t="str">
        <f>PROPER(LEFT('[1]Основной сток'!I75,FIND(CHAR(10),'[1]Основной сток'!I75&amp;CHAR(10))-1))</f>
        <v>Air Jordan 1 Mid Se Pastel Vivid Green Grind (Gs)</v>
      </c>
      <c r="G78" t="str">
        <f>F78 &amp; ", " &amp; '[1]Основной сток'!H75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сток'!J75 &amp; " / RU " &amp;
INDEX('[1]Размерная сетка'!$B$2:$B$40,MATCH('[1]Основной сток'!J75,'[1]Размерная сетка'!$A$2:$A$40,0)) &amp; " / US " &amp;
INDEX('[1]Размерная сетка'!$C$2:$C$40,MATCH('[1]Основной сток'!J75,'[1]Размерная сетка'!$A$2:$A$40,0)) &amp; " / см " &amp;
INDEX('[1]Размерная сетка'!$D$2:$D$40,MATCH('[1]Основной сток'!J75,'[1]Размерная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Mid Se Pastel Vivid Green Grind (Gs), DJ0338-100
• В наличии в Москве
• Оригинал, можно проверить при получении
• Совершенно новые, полный комплект
• Размер: EU 36 / RU 35 / US 5,5 / см 22,5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78" s="8">
        <f>'[1]Основной сток'!L75</f>
        <v>12000</v>
      </c>
      <c r="I78" s="1" t="str" cm="1">
        <f t="array" ref="I78">VLOOKUP(INDEX('[1]Основной сток'!H:H,ROW()-3),[1]Фотки!A:B,2,FALSE)</f>
        <v>https://i.ibb.co/hJG5jSpy/1-1.jpg</v>
      </c>
      <c r="J78" t="s">
        <v>36</v>
      </c>
      <c r="K78" t="s">
        <v>37</v>
      </c>
      <c r="L78" t="str">
        <f t="shared" si="2"/>
        <v>Женская обувь</v>
      </c>
      <c r="M78" t="s">
        <v>38</v>
      </c>
      <c r="N78" t="s">
        <v>39</v>
      </c>
      <c r="O78" t="str">
        <f>PROPER('[1]Основной сток'!F75)</f>
        <v>Jordan</v>
      </c>
      <c r="P78" t="str">
        <f>'[1]Основной сток'!M75</f>
        <v>Белый</v>
      </c>
      <c r="R78" t="s">
        <v>41</v>
      </c>
      <c r="S78" t="s">
        <v>42</v>
      </c>
      <c r="T78" t="str">
        <f t="shared" si="3"/>
        <v>Кроссовки и кеды</v>
      </c>
      <c r="U78">
        <f>'[1]Основной сток'!J75 - 1</f>
        <v>35</v>
      </c>
      <c r="V78" t="s">
        <v>43</v>
      </c>
      <c r="X78" t="s">
        <v>44</v>
      </c>
      <c r="Y78" t="s">
        <v>45</v>
      </c>
    </row>
    <row r="79" spans="1:25" x14ac:dyDescent="0.15">
      <c r="A79" s="6">
        <f>'[1]Основной сток'!A76</f>
        <v>1524044</v>
      </c>
      <c r="B79" t="s">
        <v>33</v>
      </c>
      <c r="D79" t="s">
        <v>34</v>
      </c>
      <c r="E79" t="s">
        <v>35</v>
      </c>
      <c r="F79" s="7" t="str">
        <f>PROPER(LEFT('[1]Основной сток'!I76,FIND(CHAR(10),'[1]Основной сток'!I76&amp;CHAR(10))-1))</f>
        <v>Air Jordan 1 Mid Se Pastel Vivid Green Grind (Gs)</v>
      </c>
      <c r="G79" t="str">
        <f>F79 &amp; ", " &amp; '[1]Основной сток'!H76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сток'!J76 &amp; " / RU " &amp;
INDEX('[1]Размерная сетка'!$B$2:$B$40,MATCH('[1]Основной сток'!J76,'[1]Размерная сетка'!$A$2:$A$40,0)) &amp; " / US " &amp;
INDEX('[1]Размерная сетка'!$C$2:$C$40,MATCH('[1]Основной сток'!J76,'[1]Размерная сетка'!$A$2:$A$40,0)) &amp; " / см " &amp;
INDEX('[1]Размерная сетка'!$D$2:$D$40,MATCH('[1]Основной сток'!J76,'[1]Размерная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Mid Se Pastel Vivid Green Grind (Gs), DJ0338-100
• В наличии в Москве
• Оригинал, можно проверить при получении
• Совершенно новые, полный комплект
• Размер: EU 36 / RU 35 / US 5,5 / см 22,5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79" s="8">
        <f>'[1]Основной сток'!L76</f>
        <v>12000</v>
      </c>
      <c r="I79" s="1" t="str" cm="1">
        <f t="array" ref="I79">VLOOKUP(INDEX('[1]Основной сток'!H:H,ROW()-3),[1]Фотки!A:B,2,FALSE)</f>
        <v>https://i.ibb.co/hJG5jSpy/1-1.jpg</v>
      </c>
      <c r="J79" t="s">
        <v>36</v>
      </c>
      <c r="K79" t="s">
        <v>37</v>
      </c>
      <c r="L79" t="str">
        <f t="shared" si="2"/>
        <v>Женская обувь</v>
      </c>
      <c r="M79" t="s">
        <v>38</v>
      </c>
      <c r="N79" t="s">
        <v>39</v>
      </c>
      <c r="O79" t="str">
        <f>PROPER('[1]Основной сток'!F76)</f>
        <v>Jordan</v>
      </c>
      <c r="P79" t="str">
        <f>'[1]Основной сток'!M76</f>
        <v>Белый</v>
      </c>
      <c r="R79" t="s">
        <v>41</v>
      </c>
      <c r="S79" t="s">
        <v>42</v>
      </c>
      <c r="T79" t="str">
        <f t="shared" si="3"/>
        <v>Кроссовки и кеды</v>
      </c>
      <c r="U79">
        <f>'[1]Основной сток'!J76 - 1</f>
        <v>35</v>
      </c>
      <c r="V79" t="s">
        <v>43</v>
      </c>
      <c r="X79" t="s">
        <v>44</v>
      </c>
      <c r="Y79" t="s">
        <v>45</v>
      </c>
    </row>
    <row r="80" spans="1:25" x14ac:dyDescent="0.15">
      <c r="A80" s="6">
        <f>'[1]Основной сток'!A77</f>
        <v>1524829</v>
      </c>
      <c r="B80" t="s">
        <v>33</v>
      </c>
      <c r="D80" t="s">
        <v>34</v>
      </c>
      <c r="E80" t="s">
        <v>35</v>
      </c>
      <c r="F80" s="7" t="str">
        <f>PROPER(LEFT('[1]Основной сток'!I77,FIND(CHAR(10),'[1]Основной сток'!I77&amp;CHAR(10))-1))</f>
        <v>Adidas Samba Og Sporty &amp; Rich Blue Grey</v>
      </c>
      <c r="G80" t="str">
        <f>F80 &amp; ", " &amp; '[1]Основной сток'!H77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сток'!J77 &amp; " / RU " &amp;
INDEX('[1]Размерная сетка'!$B$2:$B$40,MATCH('[1]Основной сток'!J77,'[1]Размерная сетка'!$A$2:$A$40,0)) &amp; " / US " &amp;
INDEX('[1]Размерная сетка'!$C$2:$C$40,MATCH('[1]Основной сток'!J77,'[1]Размерная сетка'!$A$2:$A$40,0)) &amp; " / см " &amp;
INDEX('[1]Размерная сетка'!$D$2:$D$40,MATCH('[1]Основной сток'!J77,'[1]Размерная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Og Sporty &amp; Rich Blue Grey, IE6975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80" s="8">
        <f>'[1]Основной сток'!L77</f>
        <v>39000</v>
      </c>
      <c r="I80" s="1" t="str" cm="1">
        <f t="array" ref="I80">VLOOKUP(INDEX('[1]Основной сток'!H:H,ROW()-3),[1]Фотки!A:B,2,FALSE)</f>
        <v>https://i.ibb.co/HT4Myg9w/1.jpg|https://i.ibb.co/rKpgY6hV/2.jpg|https://i.ibb.co/nsHj6w7M/3.jpg|https://i.ibb.co/PZjvdqyB/4.jpg</v>
      </c>
      <c r="J80" t="s">
        <v>36</v>
      </c>
      <c r="K80" t="s">
        <v>37</v>
      </c>
      <c r="L80" t="str">
        <f t="shared" si="2"/>
        <v>Женская обувь</v>
      </c>
      <c r="M80" t="s">
        <v>38</v>
      </c>
      <c r="N80" t="s">
        <v>39</v>
      </c>
      <c r="O80" t="str">
        <f>PROPER('[1]Основной сток'!F77)</f>
        <v>Adidas</v>
      </c>
      <c r="P80" t="str">
        <f>'[1]Основной сток'!M77</f>
        <v>Голубой</v>
      </c>
      <c r="R80" t="s">
        <v>41</v>
      </c>
      <c r="S80" t="s">
        <v>42</v>
      </c>
      <c r="T80" t="str">
        <f t="shared" si="3"/>
        <v>Кроссовки и кеды</v>
      </c>
      <c r="U80">
        <f>'[1]Основной сток'!J77 - 1</f>
        <v>37</v>
      </c>
      <c r="V80" t="s">
        <v>43</v>
      </c>
      <c r="X80" t="s">
        <v>44</v>
      </c>
      <c r="Y80" t="s">
        <v>45</v>
      </c>
    </row>
    <row r="81" spans="1:25" x14ac:dyDescent="0.15">
      <c r="A81" s="6">
        <f>'[1]Основной сток'!A78</f>
        <v>1537787</v>
      </c>
      <c r="B81" t="s">
        <v>33</v>
      </c>
      <c r="D81" t="s">
        <v>34</v>
      </c>
      <c r="E81" t="s">
        <v>35</v>
      </c>
      <c r="F81" s="7" t="str">
        <f>PROPER(LEFT('[1]Основной сток'!I78,FIND(CHAR(10),'[1]Основной сток'!I78&amp;CHAR(10))-1))</f>
        <v>Air Jordan 1 Low Se Craft Inside Out Tech Grey (Gs)</v>
      </c>
      <c r="G81" t="str">
        <f>F81 &amp; ", " &amp; '[1]Основной сток'!H78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сток'!J78 &amp; " / RU " &amp;
INDEX('[1]Размерная сетка'!$B$2:$B$40,MATCH('[1]Основной сток'!J78,'[1]Размерная сетка'!$A$2:$A$40,0)) &amp; " / US " &amp;
INDEX('[1]Размерная сетка'!$C$2:$C$40,MATCH('[1]Основной сток'!J78,'[1]Размерная сетка'!$A$2:$A$40,0)) &amp; " / см " &amp;
INDEX('[1]Размерная сетка'!$D$2:$D$40,MATCH('[1]Основной сток'!J78,'[1]Размерная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Low Se Craft Inside Out Tech Grey (Gs), FB9139-002
• В наличии в Москве
• Оригинал, можно проверить при получении
• Совершенно новые, полный комплект
• Размер: EU 37,5 / RU 36,5 / US 6,5-7 / см 23,3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81" s="8">
        <f>'[1]Основной сток'!L78</f>
        <v>13500</v>
      </c>
      <c r="I81" s="1" t="str" cm="1">
        <f t="array" ref="I81">VLOOKUP(INDEX('[1]Основной сток'!H:H,ROW()-3),[1]Фотки!A:B,2,FALSE)</f>
        <v>https://i.ibb.co/8gd2KL0Y/1-1.jpg|https://i.ibb.co/yFD6CkQq/2.jpg|https://i.ibb.co/TDZsTqTh/3.jpg|https://i.ibb.co/RkmxVTMT/FB9139-002.jpg</v>
      </c>
      <c r="J81" t="s">
        <v>36</v>
      </c>
      <c r="K81" t="s">
        <v>37</v>
      </c>
      <c r="L81" t="str">
        <f t="shared" si="2"/>
        <v>Женская обувь</v>
      </c>
      <c r="M81" t="s">
        <v>38</v>
      </c>
      <c r="N81" t="s">
        <v>39</v>
      </c>
      <c r="O81" t="str">
        <f>PROPER('[1]Основной сток'!F78)</f>
        <v>Jordan</v>
      </c>
      <c r="P81" t="str">
        <f>'[1]Основной сток'!M78</f>
        <v>Серый</v>
      </c>
      <c r="R81" t="s">
        <v>41</v>
      </c>
      <c r="S81" t="s">
        <v>42</v>
      </c>
      <c r="T81" t="str">
        <f t="shared" si="3"/>
        <v>Кроссовки и кеды</v>
      </c>
      <c r="U81">
        <f>'[1]Основной сток'!J78 - 1</f>
        <v>36.5</v>
      </c>
      <c r="V81" t="s">
        <v>43</v>
      </c>
      <c r="X81" t="s">
        <v>44</v>
      </c>
      <c r="Y81" t="s">
        <v>45</v>
      </c>
    </row>
    <row r="82" spans="1:25" x14ac:dyDescent="0.15">
      <c r="A82" s="6">
        <f>'[1]Основной сток'!A79</f>
        <v>1537792</v>
      </c>
      <c r="B82" t="s">
        <v>33</v>
      </c>
      <c r="D82" t="s">
        <v>34</v>
      </c>
      <c r="E82" t="s">
        <v>35</v>
      </c>
      <c r="F82" s="7" t="str">
        <f>PROPER(LEFT('[1]Основной сток'!I79,FIND(CHAR(10),'[1]Основной сток'!I79&amp;CHAR(10))-1))</f>
        <v>Adidas Campus 00S Crystal White Dark Green (Women'S)</v>
      </c>
      <c r="G82" t="str">
        <f>F82 &amp; ", " &amp; '[1]Основной сток'!H79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сток'!J79 &amp; " / RU " &amp;
INDEX('[1]Размерная сетка'!$B$2:$B$40,MATCH('[1]Основной сток'!J79,'[1]Размерная сетка'!$A$2:$A$40,0)) &amp; " / US " &amp;
INDEX('[1]Размерная сетка'!$C$2:$C$40,MATCH('[1]Основной сток'!J79,'[1]Размерная сетка'!$A$2:$A$40,0)) &amp; " / см " &amp;
INDEX('[1]Размерная сетка'!$D$2:$D$40,MATCH('[1]Основной сток'!J79,'[1]Размерная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Campus 00S Crystal White Dark Green (Women'S), GY0038
• В наличии в Москве
• Оригинал, можно проверить при получении
• Совершенно новые, полный комплект
• Размер: EU 37 / RU 36 / US 6,5 / см 23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82" s="8">
        <f>'[1]Основной сток'!L79</f>
        <v>12900</v>
      </c>
      <c r="I82" s="1" t="str" cm="1">
        <f t="array" ref="I82">VLOOKUP(INDEX('[1]Основной сток'!H:H,ROW()-3),[1]Фотки!A:B,2,FALSE)</f>
        <v>https://i.ibb.co/NgWTxp7L/1.jpg|https://i.ibb.co/PGF2cZ4B/2.jpg|https://i.ibb.co/6c1f0jPq/3.jpg|https://i.ibb.co/7mKtkVf/4.jpg</v>
      </c>
      <c r="J82" t="s">
        <v>36</v>
      </c>
      <c r="K82" t="s">
        <v>37</v>
      </c>
      <c r="L82" t="str">
        <f t="shared" si="2"/>
        <v>Женская обувь</v>
      </c>
      <c r="M82" t="s">
        <v>38</v>
      </c>
      <c r="N82" t="s">
        <v>39</v>
      </c>
      <c r="O82" t="str">
        <f>PROPER('[1]Основной сток'!F79)</f>
        <v>Adidas</v>
      </c>
      <c r="P82" t="str">
        <f>'[1]Основной сток'!M79</f>
        <v>Зелёный</v>
      </c>
      <c r="R82" t="s">
        <v>41</v>
      </c>
      <c r="S82" t="s">
        <v>42</v>
      </c>
      <c r="T82" t="str">
        <f t="shared" si="3"/>
        <v>Кроссовки и кеды</v>
      </c>
      <c r="U82">
        <f>'[1]Основной сток'!J79 - 1</f>
        <v>36</v>
      </c>
      <c r="V82" t="s">
        <v>43</v>
      </c>
      <c r="X82" t="s">
        <v>44</v>
      </c>
      <c r="Y82" t="s">
        <v>45</v>
      </c>
    </row>
    <row r="83" spans="1:25" x14ac:dyDescent="0.15">
      <c r="A83" s="6">
        <f>'[1]Основной сток'!A80</f>
        <v>1539395</v>
      </c>
      <c r="B83" t="s">
        <v>33</v>
      </c>
      <c r="D83" t="s">
        <v>34</v>
      </c>
      <c r="E83" t="s">
        <v>35</v>
      </c>
      <c r="F83" s="7" t="str">
        <f>PROPER(LEFT('[1]Основной сток'!I80,FIND(CHAR(10),'[1]Основной сток'!I80&amp;CHAR(10))-1))</f>
        <v>Adidas Samba Og Sporty &amp; Rich Blue Grey</v>
      </c>
      <c r="G83" t="str">
        <f>F83 &amp; ", " &amp; '[1]Основной сток'!H80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сток'!J80 &amp; " / RU " &amp;
INDEX('[1]Размерная сетка'!$B$2:$B$40,MATCH('[1]Основной сток'!J80,'[1]Размерная сетка'!$A$2:$A$40,0)) &amp; " / US " &amp;
INDEX('[1]Размерная сетка'!$C$2:$C$40,MATCH('[1]Основной сток'!J80,'[1]Размерная сетка'!$A$2:$A$40,0)) &amp; " / см " &amp;
INDEX('[1]Размерная сетка'!$D$2:$D$40,MATCH('[1]Основной сток'!J80,'[1]Размерная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Og Sporty &amp; Rich Blue Grey, IE6975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83" s="8">
        <f>'[1]Основной сток'!L80</f>
        <v>39000</v>
      </c>
      <c r="I83" s="1" t="str" cm="1">
        <f t="array" ref="I83">VLOOKUP(INDEX('[1]Основной сток'!H:H,ROW()-3),[1]Фотки!A:B,2,FALSE)</f>
        <v>https://i.ibb.co/HT4Myg9w/1.jpg|https://i.ibb.co/rKpgY6hV/2.jpg|https://i.ibb.co/nsHj6w7M/3.jpg|https://i.ibb.co/PZjvdqyB/4.jpg</v>
      </c>
      <c r="J83" t="s">
        <v>36</v>
      </c>
      <c r="K83" t="s">
        <v>37</v>
      </c>
      <c r="L83" t="str">
        <f t="shared" si="2"/>
        <v>Женская обувь</v>
      </c>
      <c r="M83" t="s">
        <v>38</v>
      </c>
      <c r="N83" t="s">
        <v>39</v>
      </c>
      <c r="O83" t="str">
        <f>PROPER('[1]Основной сток'!F80)</f>
        <v>Adidas</v>
      </c>
      <c r="P83" t="str">
        <f>'[1]Основной сток'!M80</f>
        <v>Голубой</v>
      </c>
      <c r="R83" t="s">
        <v>41</v>
      </c>
      <c r="S83" t="s">
        <v>42</v>
      </c>
      <c r="T83" t="str">
        <f t="shared" si="3"/>
        <v>Кроссовки и кеды</v>
      </c>
      <c r="U83">
        <f>'[1]Основной сток'!J80 - 1</f>
        <v>37</v>
      </c>
      <c r="V83" t="s">
        <v>43</v>
      </c>
      <c r="X83" t="s">
        <v>44</v>
      </c>
      <c r="Y83" t="s">
        <v>45</v>
      </c>
    </row>
    <row r="84" spans="1:25" x14ac:dyDescent="0.15">
      <c r="A84" s="6">
        <f>'[1]Основной сток'!A81</f>
        <v>1545489</v>
      </c>
      <c r="B84" t="s">
        <v>33</v>
      </c>
      <c r="D84" t="s">
        <v>34</v>
      </c>
      <c r="E84" t="s">
        <v>35</v>
      </c>
      <c r="F84" s="7" t="str">
        <f>PROPER(LEFT('[1]Основной сток'!I81,FIND(CHAR(10),'[1]Основной сток'!I81&amp;CHAR(10))-1))</f>
        <v>Adidas Samba Og “White Green”</v>
      </c>
      <c r="G84" t="str">
        <f>F84 &amp; ", " &amp; '[1]Основной сток'!H81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сток'!J81 &amp; " / RU " &amp;
INDEX('[1]Размерная сетка'!$B$2:$B$40,MATCH('[1]Основной сток'!J81,'[1]Размерная сетка'!$A$2:$A$40,0)) &amp; " / US " &amp;
INDEX('[1]Размерная сетка'!$C$2:$C$40,MATCH('[1]Основной сток'!J81,'[1]Размерная сетка'!$A$2:$A$40,0)) &amp; " / см " &amp;
INDEX('[1]Размерная сетка'!$D$2:$D$40,MATCH('[1]Основной сток'!J81,'[1]Размерная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Og “White Green”, IG1024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84" s="8">
        <f>'[1]Основной сток'!L81</f>
        <v>18000</v>
      </c>
      <c r="I84" s="1" t="str" cm="1">
        <f t="array" ref="I84">VLOOKUP(INDEX('[1]Основной сток'!H:H,ROW()-3),[1]Фотки!A:B,2,FALSE)</f>
        <v>https://i.ibb.co/M4C7wvF/1-1.jpg|https://i.ibb.co/MDkJvnKs/2.jpg|https://i.ibb.co/5h81CF5t/3.jpg|https://i.ibb.co/GyHVGDf/4.jpg</v>
      </c>
      <c r="J84" t="s">
        <v>36</v>
      </c>
      <c r="K84" t="s">
        <v>37</v>
      </c>
      <c r="L84" t="str">
        <f t="shared" si="2"/>
        <v>Женская обувь</v>
      </c>
      <c r="M84" t="s">
        <v>38</v>
      </c>
      <c r="N84" t="s">
        <v>39</v>
      </c>
      <c r="O84" t="str">
        <f>PROPER('[1]Основной сток'!F81)</f>
        <v>Adidas</v>
      </c>
      <c r="P84" t="str">
        <f>'[1]Основной сток'!M81</f>
        <v>Зелёный</v>
      </c>
      <c r="R84" t="s">
        <v>41</v>
      </c>
      <c r="S84" t="s">
        <v>42</v>
      </c>
      <c r="T84" t="str">
        <f t="shared" si="3"/>
        <v>Кроссовки и кеды</v>
      </c>
      <c r="U84">
        <f>'[1]Основной сток'!J81 - 1</f>
        <v>37.5</v>
      </c>
      <c r="V84" t="s">
        <v>43</v>
      </c>
      <c r="X84" t="s">
        <v>44</v>
      </c>
      <c r="Y84" t="s">
        <v>45</v>
      </c>
    </row>
    <row r="85" spans="1:25" x14ac:dyDescent="0.15">
      <c r="A85" s="6">
        <f>'[1]Основной сток'!A82</f>
        <v>1548856</v>
      </c>
      <c r="B85" t="s">
        <v>33</v>
      </c>
      <c r="D85" t="s">
        <v>34</v>
      </c>
      <c r="E85" t="s">
        <v>35</v>
      </c>
      <c r="F85" s="7" t="str">
        <f>PROPER(LEFT('[1]Основной сток'!I82,FIND(CHAR(10),'[1]Основной сток'!I82&amp;CHAR(10))-1))</f>
        <v>Adidas Samba Og Sporty &amp; Rich Beige Blue</v>
      </c>
      <c r="G85" t="str">
        <f>F85 &amp; ", " &amp; '[1]Основной сток'!H82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сток'!J82 &amp; " / RU " &amp;
INDEX('[1]Размерная сетка'!$B$2:$B$40,MATCH('[1]Основной сток'!J82,'[1]Размерная сетка'!$A$2:$A$40,0)) &amp; " / US " &amp;
INDEX('[1]Размерная сетка'!$C$2:$C$40,MATCH('[1]Основной сток'!J82,'[1]Размерная сетка'!$A$2:$A$40,0)) &amp; " / см " &amp;
INDEX('[1]Размерная сетка'!$D$2:$D$40,MATCH('[1]Основной сток'!J82,'[1]Размерная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Og Sporty &amp; Rich Beige Blue, IE7096
• В наличии в Москве
• Оригинал, можно проверить при получении
• Совершенно новые, полный комплект
• Размер: EU 37 / RU 36 / US 6,5 / см 23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85" s="8">
        <f>'[1]Основной сток'!L82</f>
        <v>39000</v>
      </c>
      <c r="I85" s="1" t="str" cm="1">
        <f t="array" ref="I85">VLOOKUP(INDEX('[1]Основной сток'!H:H,ROW()-3),[1]Фотки!A:B,2,FALSE)</f>
        <v>https://i.ibb.co/czXw1V0/1.jpg</v>
      </c>
      <c r="J85" t="s">
        <v>36</v>
      </c>
      <c r="K85" t="s">
        <v>37</v>
      </c>
      <c r="L85" t="str">
        <f t="shared" si="2"/>
        <v>Женская обувь</v>
      </c>
      <c r="M85" t="s">
        <v>38</v>
      </c>
      <c r="N85" t="s">
        <v>39</v>
      </c>
      <c r="O85" t="str">
        <f>PROPER('[1]Основной сток'!F82)</f>
        <v>Adidas</v>
      </c>
      <c r="P85" t="str">
        <f>'[1]Основной сток'!M82</f>
        <v>Голубой</v>
      </c>
      <c r="R85" t="s">
        <v>41</v>
      </c>
      <c r="S85" t="s">
        <v>42</v>
      </c>
      <c r="T85" t="str">
        <f t="shared" si="3"/>
        <v>Кроссовки и кеды</v>
      </c>
      <c r="U85">
        <f>'[1]Основной сток'!J82 - 1</f>
        <v>36</v>
      </c>
      <c r="V85" t="s">
        <v>43</v>
      </c>
      <c r="X85" t="s">
        <v>44</v>
      </c>
      <c r="Y85" t="s">
        <v>45</v>
      </c>
    </row>
    <row r="86" spans="1:25" x14ac:dyDescent="0.15">
      <c r="A86" s="6">
        <f>'[1]Основной сток'!A83</f>
        <v>1548862</v>
      </c>
      <c r="B86" t="s">
        <v>33</v>
      </c>
      <c r="D86" t="s">
        <v>34</v>
      </c>
      <c r="E86" t="s">
        <v>35</v>
      </c>
      <c r="F86" s="7" t="str">
        <f>PROPER(LEFT('[1]Основной сток'!I83,FIND(CHAR(10),'[1]Основной сток'!I83&amp;CHAR(10))-1))</f>
        <v>Adidas Samba Og Sporty &amp; Rich Blue Grey</v>
      </c>
      <c r="G86" t="str">
        <f>F86 &amp; ", " &amp; '[1]Основной сток'!H83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сток'!J83 &amp; " / RU " &amp;
INDEX('[1]Размерная сетка'!$B$2:$B$40,MATCH('[1]Основной сток'!J83,'[1]Размерная сетка'!$A$2:$A$40,0)) &amp; " / US " &amp;
INDEX('[1]Размерная сетка'!$C$2:$C$40,MATCH('[1]Основной сток'!J83,'[1]Размерная сетка'!$A$2:$A$40,0)) &amp; " / см " &amp;
INDEX('[1]Размерная сетка'!$D$2:$D$40,MATCH('[1]Основной сток'!J83,'[1]Размерная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Og Sporty &amp; Rich Blue Grey, IE6975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86" s="8">
        <f>'[1]Основной сток'!L83</f>
        <v>39000</v>
      </c>
      <c r="I86" s="1" t="str" cm="1">
        <f t="array" ref="I86">VLOOKUP(INDEX('[1]Основной сток'!H:H,ROW()-3),[1]Фотки!A:B,2,FALSE)</f>
        <v>https://i.ibb.co/HT4Myg9w/1.jpg|https://i.ibb.co/rKpgY6hV/2.jpg|https://i.ibb.co/nsHj6w7M/3.jpg|https://i.ibb.co/PZjvdqyB/4.jpg</v>
      </c>
      <c r="J86" t="s">
        <v>36</v>
      </c>
      <c r="K86" t="s">
        <v>37</v>
      </c>
      <c r="L86" t="str">
        <f t="shared" si="2"/>
        <v>Женская обувь</v>
      </c>
      <c r="M86" t="s">
        <v>38</v>
      </c>
      <c r="N86" t="s">
        <v>39</v>
      </c>
      <c r="O86" t="str">
        <f>PROPER('[1]Основной сток'!F83)</f>
        <v>Adidas</v>
      </c>
      <c r="P86" t="str">
        <f>'[1]Основной сток'!M83</f>
        <v>Голубой</v>
      </c>
      <c r="R86" t="s">
        <v>41</v>
      </c>
      <c r="S86" t="s">
        <v>42</v>
      </c>
      <c r="T86" t="str">
        <f t="shared" si="3"/>
        <v>Кроссовки и кеды</v>
      </c>
      <c r="U86">
        <f>'[1]Основной сток'!J83 - 1</f>
        <v>37</v>
      </c>
      <c r="V86" t="s">
        <v>43</v>
      </c>
      <c r="X86" t="s">
        <v>44</v>
      </c>
      <c r="Y86" t="s">
        <v>45</v>
      </c>
    </row>
    <row r="87" spans="1:25" x14ac:dyDescent="0.15">
      <c r="A87" s="6">
        <f>'[1]Основной сток'!A84</f>
        <v>1557693</v>
      </c>
      <c r="B87" t="s">
        <v>33</v>
      </c>
      <c r="D87" t="s">
        <v>34</v>
      </c>
      <c r="E87" t="s">
        <v>35</v>
      </c>
      <c r="F87" s="7" t="str">
        <f>PROPER(LEFT('[1]Основной сток'!I84,FIND(CHAR(10),'[1]Основной сток'!I84&amp;CHAR(10))-1))</f>
        <v>Jordan 1 High Zoom Air Cmft Lemon Twist (Women'S)</v>
      </c>
      <c r="G87" t="str">
        <f>F87 &amp; ", " &amp; '[1]Основной сток'!H84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сток'!J84 &amp; " / RU " &amp;
INDEX('[1]Размерная сетка'!$B$2:$B$40,MATCH('[1]Основной сток'!J84,'[1]Размерная сетка'!$A$2:$A$40,0)) &amp; " / US " &amp;
INDEX('[1]Размерная сетка'!$C$2:$C$40,MATCH('[1]Основной сток'!J84,'[1]Размерная сетка'!$A$2:$A$40,0)) &amp; " / см " &amp;
INDEX('[1]Размерная сетка'!$D$2:$D$40,MATCH('[1]Основной сток'!J84,'[1]Размерная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High Zoom Air Cmft Lemon Twist (Women'S), CT0979-200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87" s="8">
        <f>'[1]Основной сток'!L84</f>
        <v>14000</v>
      </c>
      <c r="I87" s="1" t="str" cm="1">
        <f t="array" ref="I87">VLOOKUP(INDEX('[1]Основной сток'!H:H,ROW()-3),[1]Фотки!A:B,2,FALSE)</f>
        <v>https://i.ibb.co/zVDxDDCc/1-1.jpg</v>
      </c>
      <c r="J87" t="s">
        <v>36</v>
      </c>
      <c r="K87" t="s">
        <v>37</v>
      </c>
      <c r="L87" t="str">
        <f t="shared" si="2"/>
        <v>Женская обувь</v>
      </c>
      <c r="M87" t="s">
        <v>38</v>
      </c>
      <c r="N87" t="s">
        <v>39</v>
      </c>
      <c r="O87" t="str">
        <f>PROPER('[1]Основной сток'!F84)</f>
        <v>Jordan</v>
      </c>
      <c r="P87" t="str">
        <f>'[1]Основной сток'!M84</f>
        <v>Коричневый</v>
      </c>
      <c r="R87" t="s">
        <v>41</v>
      </c>
      <c r="S87" t="s">
        <v>42</v>
      </c>
      <c r="T87" t="str">
        <f t="shared" si="3"/>
        <v>Кроссовки и кеды</v>
      </c>
      <c r="U87">
        <f>'[1]Основной сток'!J84 - 1</f>
        <v>37</v>
      </c>
      <c r="V87" t="s">
        <v>43</v>
      </c>
      <c r="X87" t="s">
        <v>44</v>
      </c>
      <c r="Y87" t="s">
        <v>45</v>
      </c>
    </row>
    <row r="88" spans="1:25" x14ac:dyDescent="0.15">
      <c r="A88" s="6">
        <f>'[1]Основной сток'!A85</f>
        <v>1557695</v>
      </c>
      <c r="B88" t="s">
        <v>33</v>
      </c>
      <c r="D88" t="s">
        <v>34</v>
      </c>
      <c r="E88" t="s">
        <v>35</v>
      </c>
      <c r="F88" s="7" t="str">
        <f>PROPER(LEFT('[1]Основной сток'!I85,FIND(CHAR(10),'[1]Основной сток'!I85&amp;CHAR(10))-1))</f>
        <v>Adidas Handball Spezial Navy Gum</v>
      </c>
      <c r="G88" t="str">
        <f>F88 &amp; ", " &amp; '[1]Основной сток'!H85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сток'!J85 &amp; " / RU " &amp;
INDEX('[1]Размерная сетка'!$B$2:$B$40,MATCH('[1]Основной сток'!J85,'[1]Размерная сетка'!$A$2:$A$40,0)) &amp; " / US " &amp;
INDEX('[1]Размерная сетка'!$C$2:$C$40,MATCH('[1]Основной сток'!J85,'[1]Размерная сетка'!$A$2:$A$40,0)) &amp; " / см " &amp;
INDEX('[1]Размерная сетка'!$D$2:$D$40,MATCH('[1]Основной сток'!J85,'[1]Размерная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Handball Spezial Navy Gum, BD7633
• В наличии в Москве
• Оригинал, можно проверить при получении
• Совершенно новые, полный комплект
• Размер: EU 42,5 / RU 41,5 / US 9 / см 26,7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88" s="8">
        <f>'[1]Основной сток'!L85</f>
        <v>19000</v>
      </c>
      <c r="I88" s="1" t="str" cm="1">
        <f t="array" ref="I88">VLOOKUP(INDEX('[1]Основной сток'!H:H,ROW()-3),[1]Фотки!A:B,2,FALSE)</f>
        <v>https://i.ibb.co/tMDrQr79/1.jpg|https://i.ibb.co/MkMbd27R/2.jpg|https://i.ibb.co/SwF0pQP7/3.jpg|https://i.ibb.co/4wJpYyT9/4.jpg</v>
      </c>
      <c r="J88" t="s">
        <v>36</v>
      </c>
      <c r="K88" t="s">
        <v>37</v>
      </c>
      <c r="L88" t="str">
        <f t="shared" si="2"/>
        <v>Мужская обувь</v>
      </c>
      <c r="M88" t="s">
        <v>38</v>
      </c>
      <c r="N88" t="s">
        <v>39</v>
      </c>
      <c r="O88" t="str">
        <f>PROPER('[1]Основной сток'!F85)</f>
        <v>Adidas</v>
      </c>
      <c r="P88" t="str">
        <f>'[1]Основной сток'!M85</f>
        <v>Синий</v>
      </c>
      <c r="R88" t="s">
        <v>41</v>
      </c>
      <c r="S88" t="s">
        <v>42</v>
      </c>
      <c r="T88" t="str">
        <f t="shared" si="3"/>
        <v>Кроссовки</v>
      </c>
      <c r="U88">
        <f>'[1]Основной сток'!J85 - 1</f>
        <v>41.5</v>
      </c>
      <c r="V88" t="s">
        <v>43</v>
      </c>
      <c r="X88" t="s">
        <v>44</v>
      </c>
      <c r="Y88" t="s">
        <v>45</v>
      </c>
    </row>
    <row r="89" spans="1:25" x14ac:dyDescent="0.15">
      <c r="A89" s="6">
        <f>'[1]Основной сток'!A86</f>
        <v>1558590</v>
      </c>
      <c r="B89" t="s">
        <v>33</v>
      </c>
      <c r="D89" t="s">
        <v>34</v>
      </c>
      <c r="E89" t="s">
        <v>35</v>
      </c>
      <c r="F89" s="7" t="str">
        <f>PROPER(LEFT('[1]Основной сток'!I86,FIND(CHAR(10),'[1]Основной сток'!I86&amp;CHAR(10))-1))</f>
        <v>Air Jordan 1 Mid «Wolf Grey»</v>
      </c>
      <c r="G89" t="str">
        <f>F89 &amp; ", " &amp; '[1]Основной сток'!H86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сток'!J86 &amp; " / RU " &amp;
INDEX('[1]Размерная сетка'!$B$2:$B$40,MATCH('[1]Основной сток'!J86,'[1]Размерная сетка'!$A$2:$A$40,0)) &amp; " / US " &amp;
INDEX('[1]Размерная сетка'!$C$2:$C$40,MATCH('[1]Основной сток'!J86,'[1]Размерная сетка'!$A$2:$A$40,0)) &amp; " / см " &amp;
INDEX('[1]Размерная сетка'!$D$2:$D$40,MATCH('[1]Основной сток'!J86,'[1]Размерная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Mid «Wolf Grey», BQ6472-105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89" s="8">
        <f>'[1]Основной сток'!L86</f>
        <v>20000</v>
      </c>
      <c r="I89" s="1" t="str" cm="1">
        <f t="array" ref="I89">VLOOKUP(INDEX('[1]Основной сток'!H:H,ROW()-3),[1]Фотки!A:B,2,FALSE)</f>
        <v>https://i.ibb.co/Q7NPYXDQ/1-1.jpg|https://i.ibb.co/QFSwP6Bh/2.jpg|https://i.ibb.co/qLN13WhF/3.jpg|https://i.ibb.co/G3t7VY73/4.jpg</v>
      </c>
      <c r="J89" t="s">
        <v>36</v>
      </c>
      <c r="K89" t="s">
        <v>37</v>
      </c>
      <c r="L89" t="str">
        <f t="shared" si="2"/>
        <v>Женская обувь</v>
      </c>
      <c r="M89" t="s">
        <v>38</v>
      </c>
      <c r="N89" t="s">
        <v>39</v>
      </c>
      <c r="O89" t="str">
        <f>PROPER('[1]Основной сток'!F86)</f>
        <v>Jordan</v>
      </c>
      <c r="P89" t="str">
        <f>'[1]Основной сток'!M86</f>
        <v>Серый</v>
      </c>
      <c r="R89" t="s">
        <v>41</v>
      </c>
      <c r="S89" t="s">
        <v>42</v>
      </c>
      <c r="T89" t="str">
        <f t="shared" si="3"/>
        <v>Кроссовки и кеды</v>
      </c>
      <c r="U89">
        <f>'[1]Основной сток'!J86 - 1</f>
        <v>37</v>
      </c>
      <c r="V89" t="s">
        <v>43</v>
      </c>
      <c r="X89" t="s">
        <v>44</v>
      </c>
      <c r="Y89" t="s">
        <v>45</v>
      </c>
    </row>
    <row r="90" spans="1:25" x14ac:dyDescent="0.15">
      <c r="A90" s="6">
        <f>'[1]Основной сток'!A87</f>
        <v>1558591</v>
      </c>
      <c r="B90" t="s">
        <v>33</v>
      </c>
      <c r="D90" t="s">
        <v>34</v>
      </c>
      <c r="E90" t="s">
        <v>35</v>
      </c>
      <c r="F90" s="7" t="str">
        <f>PROPER(LEFT('[1]Основной сток'!I87,FIND(CHAR(10),'[1]Основной сток'!I87&amp;CHAR(10))-1))</f>
        <v>Air Jordan 1 Mid «Wolf Grey»</v>
      </c>
      <c r="G90" t="str">
        <f>F90 &amp; ", " &amp; '[1]Основной сток'!H87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сток'!J87 &amp; " / RU " &amp;
INDEX('[1]Размерная сетка'!$B$2:$B$40,MATCH('[1]Основной сток'!J87,'[1]Размерная сетка'!$A$2:$A$40,0)) &amp; " / US " &amp;
INDEX('[1]Размерная сетка'!$C$2:$C$40,MATCH('[1]Основной сток'!J87,'[1]Размерная сетка'!$A$2:$A$40,0)) &amp; " / см " &amp;
INDEX('[1]Размерная сетка'!$D$2:$D$40,MATCH('[1]Основной сток'!J87,'[1]Размерная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Mid «Wolf Grey», BQ6472-105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90" s="8">
        <f>'[1]Основной сток'!L87</f>
        <v>20000</v>
      </c>
      <c r="I90" s="1" t="str" cm="1">
        <f t="array" ref="I90">VLOOKUP(INDEX('[1]Основной сток'!H:H,ROW()-3),[1]Фотки!A:B,2,FALSE)</f>
        <v>https://i.ibb.co/Q7NPYXDQ/1-1.jpg|https://i.ibb.co/QFSwP6Bh/2.jpg|https://i.ibb.co/qLN13WhF/3.jpg|https://i.ibb.co/G3t7VY73/4.jpg</v>
      </c>
      <c r="J90" t="s">
        <v>36</v>
      </c>
      <c r="K90" t="s">
        <v>37</v>
      </c>
      <c r="L90" t="str">
        <f t="shared" si="2"/>
        <v>Женская обувь</v>
      </c>
      <c r="M90" t="s">
        <v>38</v>
      </c>
      <c r="N90" t="s">
        <v>39</v>
      </c>
      <c r="O90" t="str">
        <f>PROPER('[1]Основной сток'!F87)</f>
        <v>Jordan</v>
      </c>
      <c r="P90" t="str">
        <f>'[1]Основной сток'!M87</f>
        <v>Серый</v>
      </c>
      <c r="R90" t="s">
        <v>41</v>
      </c>
      <c r="S90" t="s">
        <v>42</v>
      </c>
      <c r="T90" t="str">
        <f t="shared" si="3"/>
        <v>Кроссовки и кеды</v>
      </c>
      <c r="U90">
        <f>'[1]Основной сток'!J87 - 1</f>
        <v>37.5</v>
      </c>
      <c r="V90" t="s">
        <v>43</v>
      </c>
      <c r="X90" t="s">
        <v>44</v>
      </c>
      <c r="Y90" t="s">
        <v>45</v>
      </c>
    </row>
    <row r="91" spans="1:25" x14ac:dyDescent="0.15">
      <c r="A91" s="6">
        <f>'[1]Основной сток'!A88</f>
        <v>1558592</v>
      </c>
      <c r="B91" t="s">
        <v>33</v>
      </c>
      <c r="D91" t="s">
        <v>34</v>
      </c>
      <c r="E91" t="s">
        <v>35</v>
      </c>
      <c r="F91" s="7" t="str">
        <f>PROPER(LEFT('[1]Основной сток'!I88,FIND(CHAR(10),'[1]Основной сток'!I88&amp;CHAR(10))-1))</f>
        <v>Air Jordan 1 Mid «Wolf Grey»</v>
      </c>
      <c r="G91" t="str">
        <f>F91 &amp; ", " &amp; '[1]Основной сток'!H88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сток'!J88 &amp; " / RU " &amp;
INDEX('[1]Размерная сетка'!$B$2:$B$40,MATCH('[1]Основной сток'!J88,'[1]Размерная сетка'!$A$2:$A$40,0)) &amp; " / US " &amp;
INDEX('[1]Размерная сетка'!$C$2:$C$40,MATCH('[1]Основной сток'!J88,'[1]Размерная сетка'!$A$2:$A$40,0)) &amp; " / см " &amp;
INDEX('[1]Размерная сетка'!$D$2:$D$40,MATCH('[1]Основной сток'!J88,'[1]Размерная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Mid «Wolf Grey», BQ6472-105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91" s="8">
        <f>'[1]Основной сток'!L88</f>
        <v>20000</v>
      </c>
      <c r="I91" s="1" t="str" cm="1">
        <f t="array" ref="I91">VLOOKUP(INDEX('[1]Основной сток'!H:H,ROW()-3),[1]Фотки!A:B,2,FALSE)</f>
        <v>https://i.ibb.co/Q7NPYXDQ/1-1.jpg|https://i.ibb.co/QFSwP6Bh/2.jpg|https://i.ibb.co/qLN13WhF/3.jpg|https://i.ibb.co/G3t7VY73/4.jpg</v>
      </c>
      <c r="J91" t="s">
        <v>36</v>
      </c>
      <c r="K91" t="s">
        <v>37</v>
      </c>
      <c r="L91" t="str">
        <f t="shared" si="2"/>
        <v>Женская обувь</v>
      </c>
      <c r="M91" t="s">
        <v>38</v>
      </c>
      <c r="N91" t="s">
        <v>39</v>
      </c>
      <c r="O91" t="str">
        <f>PROPER('[1]Основной сток'!F88)</f>
        <v>Jordan</v>
      </c>
      <c r="P91" t="str">
        <f>'[1]Основной сток'!M88</f>
        <v>Серый</v>
      </c>
      <c r="R91" t="s">
        <v>41</v>
      </c>
      <c r="S91" t="s">
        <v>42</v>
      </c>
      <c r="T91" t="str">
        <f t="shared" si="3"/>
        <v>Кроссовки и кеды</v>
      </c>
      <c r="U91">
        <f>'[1]Основной сток'!J88 - 1</f>
        <v>38</v>
      </c>
      <c r="V91" t="s">
        <v>43</v>
      </c>
      <c r="X91" t="s">
        <v>44</v>
      </c>
      <c r="Y91" t="s">
        <v>45</v>
      </c>
    </row>
    <row r="92" spans="1:25" x14ac:dyDescent="0.15">
      <c r="A92" s="6">
        <f>'[1]Основной сток'!A89</f>
        <v>1558593</v>
      </c>
      <c r="B92" t="s">
        <v>33</v>
      </c>
      <c r="D92" t="s">
        <v>34</v>
      </c>
      <c r="E92" t="s">
        <v>35</v>
      </c>
      <c r="F92" s="7" t="str">
        <f>PROPER(LEFT('[1]Основной сток'!I89,FIND(CHAR(10),'[1]Основной сток'!I89&amp;CHAR(10))-1))</f>
        <v>Air Jordan 1 Mid «Wolf Grey»</v>
      </c>
      <c r="G92" t="str">
        <f>F92 &amp; ", " &amp; '[1]Основной сток'!H89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сток'!J89 &amp; " / RU " &amp;
INDEX('[1]Размерная сетка'!$B$2:$B$40,MATCH('[1]Основной сток'!J89,'[1]Размерная сетка'!$A$2:$A$40,0)) &amp; " / US " &amp;
INDEX('[1]Размерная сетка'!$C$2:$C$40,MATCH('[1]Основной сток'!J89,'[1]Размерная сетка'!$A$2:$A$40,0)) &amp; " / см " &amp;
INDEX('[1]Размерная сетка'!$D$2:$D$40,MATCH('[1]Основной сток'!J89,'[1]Размерная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Mid «Wolf Grey», BQ6472-105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92" s="8">
        <f>'[1]Основной сток'!L89</f>
        <v>20000</v>
      </c>
      <c r="I92" s="1" t="str" cm="1">
        <f t="array" ref="I92">VLOOKUP(INDEX('[1]Основной сток'!H:H,ROW()-3),[1]Фотки!A:B,2,FALSE)</f>
        <v>https://i.ibb.co/Q7NPYXDQ/1-1.jpg|https://i.ibb.co/QFSwP6Bh/2.jpg|https://i.ibb.co/qLN13WhF/3.jpg|https://i.ibb.co/G3t7VY73/4.jpg</v>
      </c>
      <c r="J92" t="s">
        <v>36</v>
      </c>
      <c r="K92" t="s">
        <v>37</v>
      </c>
      <c r="L92" t="str">
        <f t="shared" si="2"/>
        <v>Женская обувь</v>
      </c>
      <c r="M92" t="s">
        <v>38</v>
      </c>
      <c r="N92" t="s">
        <v>39</v>
      </c>
      <c r="O92" t="str">
        <f>PROPER('[1]Основной сток'!F89)</f>
        <v>Jordan</v>
      </c>
      <c r="P92" t="str">
        <f>'[1]Основной сток'!M89</f>
        <v>Серый</v>
      </c>
      <c r="R92" t="s">
        <v>41</v>
      </c>
      <c r="S92" t="s">
        <v>42</v>
      </c>
      <c r="T92" t="str">
        <f t="shared" si="3"/>
        <v>Кроссовки и кеды</v>
      </c>
      <c r="U92">
        <f>'[1]Основной сток'!J89 - 1</f>
        <v>39</v>
      </c>
      <c r="V92" t="s">
        <v>43</v>
      </c>
      <c r="X92" t="s">
        <v>44</v>
      </c>
      <c r="Y92" t="s">
        <v>45</v>
      </c>
    </row>
    <row r="93" spans="1:25" x14ac:dyDescent="0.15">
      <c r="A93" s="6">
        <f>'[1]Основной сток'!A90</f>
        <v>1558594</v>
      </c>
      <c r="B93" t="s">
        <v>33</v>
      </c>
      <c r="D93" t="s">
        <v>34</v>
      </c>
      <c r="E93" t="s">
        <v>35</v>
      </c>
      <c r="F93" s="7" t="str">
        <f>PROPER(LEFT('[1]Основной сток'!I90,FIND(CHAR(10),'[1]Основной сток'!I90&amp;CHAR(10))-1))</f>
        <v>Air Jordan 1 Mid «Wolf Grey»</v>
      </c>
      <c r="G93" t="str">
        <f>F93 &amp; ", " &amp; '[1]Основной сток'!H90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сток'!J90 &amp; " / RU " &amp;
INDEX('[1]Размерная сетка'!$B$2:$B$40,MATCH('[1]Основной сток'!J90,'[1]Размерная сетка'!$A$2:$A$40,0)) &amp; " / US " &amp;
INDEX('[1]Размерная сетка'!$C$2:$C$40,MATCH('[1]Основной сток'!J90,'[1]Размерная сетка'!$A$2:$A$40,0)) &amp; " / см " &amp;
INDEX('[1]Размерная сетка'!$D$2:$D$40,MATCH('[1]Основной сток'!J90,'[1]Размерная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Mid «Wolf Grey», BQ6472-105
• В наличии в Москве
• Оригинал, можно проверить при получении
• Совершенно новые, полный комплект
• Размер: EU 40,5 / RU 39,5 / US 9 / см 25,3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93" s="8">
        <f>'[1]Основной сток'!L90</f>
        <v>20000</v>
      </c>
      <c r="I93" s="1" t="str" cm="1">
        <f t="array" ref="I93">VLOOKUP(INDEX('[1]Основной сток'!H:H,ROW()-3),[1]Фотки!A:B,2,FALSE)</f>
        <v>https://i.ibb.co/Q7NPYXDQ/1-1.jpg|https://i.ibb.co/QFSwP6Bh/2.jpg|https://i.ibb.co/qLN13WhF/3.jpg|https://i.ibb.co/G3t7VY73/4.jpg</v>
      </c>
      <c r="J93" t="s">
        <v>36</v>
      </c>
      <c r="K93" t="s">
        <v>37</v>
      </c>
      <c r="L93" t="str">
        <f t="shared" si="2"/>
        <v>Женская обувь</v>
      </c>
      <c r="M93" t="s">
        <v>38</v>
      </c>
      <c r="N93" t="s">
        <v>39</v>
      </c>
      <c r="O93" t="str">
        <f>PROPER('[1]Основной сток'!F90)</f>
        <v>Jordan</v>
      </c>
      <c r="P93" t="str">
        <f>'[1]Основной сток'!M90</f>
        <v>Серый</v>
      </c>
      <c r="R93" t="s">
        <v>41</v>
      </c>
      <c r="S93" t="s">
        <v>42</v>
      </c>
      <c r="T93" t="str">
        <f t="shared" si="3"/>
        <v>Кроссовки и кеды</v>
      </c>
      <c r="U93">
        <f>'[1]Основной сток'!J90 - 1</f>
        <v>39.5</v>
      </c>
      <c r="V93" t="s">
        <v>43</v>
      </c>
      <c r="X93" t="s">
        <v>44</v>
      </c>
      <c r="Y93" t="s">
        <v>45</v>
      </c>
    </row>
    <row r="94" spans="1:25" x14ac:dyDescent="0.15">
      <c r="A94" s="6">
        <f>'[1]Основной сток'!A91</f>
        <v>1558598</v>
      </c>
      <c r="B94" t="s">
        <v>33</v>
      </c>
      <c r="D94" t="s">
        <v>34</v>
      </c>
      <c r="E94" t="s">
        <v>35</v>
      </c>
      <c r="F94" s="7" t="str">
        <f>PROPER(LEFT('[1]Основной сток'!I91,FIND(CHAR(10),'[1]Основной сток'!I91&amp;CHAR(10))-1))</f>
        <v>Air Jordan 1 Mid «Panda»</v>
      </c>
      <c r="G94" t="str">
        <f>F94 &amp; ", " &amp; '[1]Основной сток'!H91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сток'!J91 &amp; " / RU " &amp;
INDEX('[1]Размерная сетка'!$B$2:$B$40,MATCH('[1]Основной сток'!J91,'[1]Размерная сетка'!$A$2:$A$40,0)) &amp; " / US " &amp;
INDEX('[1]Размерная сетка'!$C$2:$C$40,MATCH('[1]Основной сток'!J91,'[1]Размерная сетка'!$A$2:$A$40,0)) &amp; " / см " &amp;
INDEX('[1]Размерная сетка'!$D$2:$D$40,MATCH('[1]Основной сток'!J91,'[1]Размерная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Mid «Panda», DV0991-101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94" s="8">
        <f>'[1]Основной сток'!L91</f>
        <v>16000</v>
      </c>
      <c r="I94" s="1" t="str" cm="1">
        <f t="array" ref="I94">VLOOKUP(INDEX('[1]Основной сток'!H:H,ROW()-3),[1]Фотки!A:B,2,FALSE)</f>
        <v>https://i.ibb.co/GvgPbgY2/1-1.jpg|https://i.ibb.co/k2cSytYV/2.jpg|https://i.ibb.co/67LC2bKH/3.jpg|https://i.ibb.co/wNt2PXKH/4.jpg</v>
      </c>
      <c r="J94" t="s">
        <v>36</v>
      </c>
      <c r="K94" t="s">
        <v>37</v>
      </c>
      <c r="L94" t="str">
        <f t="shared" si="2"/>
        <v>Женская обувь</v>
      </c>
      <c r="M94" t="s">
        <v>38</v>
      </c>
      <c r="N94" t="s">
        <v>39</v>
      </c>
      <c r="O94" t="str">
        <f>PROPER('[1]Основной сток'!F91)</f>
        <v>Jordan</v>
      </c>
      <c r="P94" t="str">
        <f>'[1]Основной сток'!M91</f>
        <v>Черный</v>
      </c>
      <c r="R94" t="s">
        <v>41</v>
      </c>
      <c r="S94" t="s">
        <v>42</v>
      </c>
      <c r="T94" t="str">
        <f t="shared" si="3"/>
        <v>Кроссовки и кеды</v>
      </c>
      <c r="U94">
        <f>'[1]Основной сток'!J91 - 1</f>
        <v>37.5</v>
      </c>
      <c r="V94" t="s">
        <v>43</v>
      </c>
      <c r="X94" t="s">
        <v>44</v>
      </c>
      <c r="Y94" t="s">
        <v>45</v>
      </c>
    </row>
    <row r="95" spans="1:25" x14ac:dyDescent="0.15">
      <c r="A95" s="6">
        <f>'[1]Основной сток'!A92</f>
        <v>1558600</v>
      </c>
      <c r="B95" t="s">
        <v>33</v>
      </c>
      <c r="D95" t="s">
        <v>34</v>
      </c>
      <c r="E95" t="s">
        <v>35</v>
      </c>
      <c r="F95" s="7" t="str">
        <f>PROPER(LEFT('[1]Основной сток'!I92,FIND(CHAR(10),'[1]Основной сток'!I92&amp;CHAR(10))-1))</f>
        <v>Air Jordan 1 Mid «Panda»</v>
      </c>
      <c r="G95" t="str">
        <f>F95 &amp; ", " &amp; '[1]Основной сток'!H92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сток'!J92 &amp; " / RU " &amp;
INDEX('[1]Размерная сетка'!$B$2:$B$40,MATCH('[1]Основной сток'!J92,'[1]Размерная сетка'!$A$2:$A$40,0)) &amp; " / US " &amp;
INDEX('[1]Размерная сетка'!$C$2:$C$40,MATCH('[1]Основной сток'!J92,'[1]Размерная сетка'!$A$2:$A$40,0)) &amp; " / см " &amp;
INDEX('[1]Размерная сетка'!$D$2:$D$40,MATCH('[1]Основной сток'!J92,'[1]Размерная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Mid «Panda», DV0991-101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95" s="8">
        <f>'[1]Основной сток'!L92</f>
        <v>16000</v>
      </c>
      <c r="I95" s="1" t="str" cm="1">
        <f t="array" ref="I95">VLOOKUP(INDEX('[1]Основной сток'!H:H,ROW()-3),[1]Фотки!A:B,2,FALSE)</f>
        <v>https://i.ibb.co/GvgPbgY2/1-1.jpg|https://i.ibb.co/k2cSytYV/2.jpg|https://i.ibb.co/67LC2bKH/3.jpg|https://i.ibb.co/wNt2PXKH/4.jpg</v>
      </c>
      <c r="J95" t="s">
        <v>36</v>
      </c>
      <c r="K95" t="s">
        <v>37</v>
      </c>
      <c r="L95" t="str">
        <f t="shared" si="2"/>
        <v>Женская обувь</v>
      </c>
      <c r="M95" t="s">
        <v>38</v>
      </c>
      <c r="N95" t="s">
        <v>39</v>
      </c>
      <c r="O95" t="str">
        <f>PROPER('[1]Основной сток'!F92)</f>
        <v>Jordan</v>
      </c>
      <c r="P95" t="str">
        <f>'[1]Основной сток'!M92</f>
        <v>Черный</v>
      </c>
      <c r="R95" t="s">
        <v>41</v>
      </c>
      <c r="S95" t="s">
        <v>42</v>
      </c>
      <c r="T95" t="str">
        <f t="shared" si="3"/>
        <v>Кроссовки и кеды</v>
      </c>
      <c r="U95">
        <f>'[1]Основной сток'!J92 - 1</f>
        <v>39</v>
      </c>
      <c r="V95" t="s">
        <v>43</v>
      </c>
      <c r="X95" t="s">
        <v>44</v>
      </c>
      <c r="Y95" t="s">
        <v>45</v>
      </c>
    </row>
    <row r="96" spans="1:25" x14ac:dyDescent="0.15">
      <c r="A96" s="6">
        <f>'[1]Основной сток'!A93</f>
        <v>1558601</v>
      </c>
      <c r="B96" t="s">
        <v>33</v>
      </c>
      <c r="D96" t="s">
        <v>34</v>
      </c>
      <c r="E96" t="s">
        <v>35</v>
      </c>
      <c r="F96" s="7" t="str">
        <f>PROPER(LEFT('[1]Основной сток'!I93,FIND(CHAR(10),'[1]Основной сток'!I93&amp;CHAR(10))-1))</f>
        <v>Air Jordan 1 Mid «Panda»</v>
      </c>
      <c r="G96" t="str">
        <f>F96 &amp; ", " &amp; '[1]Основной сток'!H93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сток'!J93 &amp; " / RU " &amp;
INDEX('[1]Размерная сетка'!$B$2:$B$40,MATCH('[1]Основной сток'!J93,'[1]Размерная сетка'!$A$2:$A$40,0)) &amp; " / US " &amp;
INDEX('[1]Размерная сетка'!$C$2:$C$40,MATCH('[1]Основной сток'!J93,'[1]Размерная сетка'!$A$2:$A$40,0)) &amp; " / см " &amp;
INDEX('[1]Размерная сетка'!$D$2:$D$40,MATCH('[1]Основной сток'!J93,'[1]Размерная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Mid «Panda», DV0991-101
• В наличии в Москве
• Оригинал, можно проверить при получении
• Совершенно новые, полный комплект
• Размер: EU 40,5 / RU 39,5 / US 9 / см 25,3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96" s="8">
        <f>'[1]Основной сток'!L93</f>
        <v>16000</v>
      </c>
      <c r="I96" s="1" t="str" cm="1">
        <f t="array" ref="I96">VLOOKUP(INDEX('[1]Основной сток'!H:H,ROW()-3),[1]Фотки!A:B,2,FALSE)</f>
        <v>https://i.ibb.co/GvgPbgY2/1-1.jpg|https://i.ibb.co/k2cSytYV/2.jpg|https://i.ibb.co/67LC2bKH/3.jpg|https://i.ibb.co/wNt2PXKH/4.jpg</v>
      </c>
      <c r="J96" t="s">
        <v>36</v>
      </c>
      <c r="K96" t="s">
        <v>37</v>
      </c>
      <c r="L96" t="str">
        <f t="shared" si="2"/>
        <v>Женская обувь</v>
      </c>
      <c r="M96" t="s">
        <v>38</v>
      </c>
      <c r="N96" t="s">
        <v>39</v>
      </c>
      <c r="O96" t="str">
        <f>PROPER('[1]Основной сток'!F93)</f>
        <v>Jordan</v>
      </c>
      <c r="P96" t="str">
        <f>'[1]Основной сток'!M93</f>
        <v>Черный</v>
      </c>
      <c r="R96" t="s">
        <v>41</v>
      </c>
      <c r="S96" t="s">
        <v>42</v>
      </c>
      <c r="T96" t="str">
        <f t="shared" si="3"/>
        <v>Кроссовки и кеды</v>
      </c>
      <c r="U96">
        <f>'[1]Основной сток'!J93 - 1</f>
        <v>39.5</v>
      </c>
      <c r="V96" t="s">
        <v>43</v>
      </c>
      <c r="X96" t="s">
        <v>44</v>
      </c>
      <c r="Y96" t="s">
        <v>45</v>
      </c>
    </row>
    <row r="97" spans="1:25" x14ac:dyDescent="0.15">
      <c r="A97" s="6">
        <f>'[1]Основной сток'!A94</f>
        <v>1560186</v>
      </c>
      <c r="B97" t="s">
        <v>33</v>
      </c>
      <c r="D97" t="s">
        <v>34</v>
      </c>
      <c r="E97" t="s">
        <v>35</v>
      </c>
      <c r="F97" s="7" t="str">
        <f>PROPER(LEFT('[1]Основной сток'!I94,FIND(CHAR(10),'[1]Основной сток'!I94&amp;CHAR(10))-1))</f>
        <v>New Balance 530 «White Silver Navy»</v>
      </c>
      <c r="G97" t="str">
        <f>F97 &amp; ", " &amp; '[1]Основной сток'!H94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сток'!J94 &amp; " / RU " &amp;
INDEX('[1]Размерная сетка'!$B$2:$B$40,MATCH('[1]Основной сток'!J94,'[1]Размерная сетка'!$A$2:$A$40,0)) &amp; " / US " &amp;
INDEX('[1]Размерная сетка'!$C$2:$C$40,MATCH('[1]Основной сток'!J94,'[1]Размерная сетка'!$A$2:$A$40,0)) &amp; " / см " &amp;
INDEX('[1]Размерная сетка'!$D$2:$D$40,MATCH('[1]Основной сток'!J94,'[1]Размерная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530 «White Silver Navy», MR530SG
• В наличии в Москве
• Оригинал, можно проверить при получении
• Совершенно новые, полный комплект
• Размер: EU 41,5 / RU 40,5 / US 8-8,5 / см 26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97" s="8">
        <f>'[1]Основной сток'!L94</f>
        <v>18000</v>
      </c>
      <c r="I97" s="1" t="str" cm="1">
        <f t="array" ref="I97">VLOOKUP(INDEX('[1]Основной сток'!H:H,ROW()-3),[1]Фотки!A:B,2,FALSE)</f>
        <v>https://i.ibb.co/nM7zHs53/71n-L9n-P0n-DL-AC-UY900.jpg</v>
      </c>
      <c r="J97" t="s">
        <v>36</v>
      </c>
      <c r="K97" t="s">
        <v>37</v>
      </c>
      <c r="L97" t="str">
        <f t="shared" si="2"/>
        <v>Мужская обувь</v>
      </c>
      <c r="M97" t="s">
        <v>38</v>
      </c>
      <c r="N97" t="s">
        <v>39</v>
      </c>
      <c r="O97" t="str">
        <f>PROPER('[1]Основной сток'!F94)</f>
        <v>New Balance</v>
      </c>
      <c r="P97" t="str">
        <f>'[1]Основной сток'!M94</f>
        <v>Серый</v>
      </c>
      <c r="R97" t="s">
        <v>41</v>
      </c>
      <c r="S97" t="s">
        <v>42</v>
      </c>
      <c r="T97" t="str">
        <f t="shared" si="3"/>
        <v>Кроссовки</v>
      </c>
      <c r="U97">
        <f>'[1]Основной сток'!J94 - 1</f>
        <v>40.5</v>
      </c>
      <c r="V97" t="s">
        <v>43</v>
      </c>
      <c r="X97" t="s">
        <v>44</v>
      </c>
      <c r="Y97" t="s">
        <v>45</v>
      </c>
    </row>
    <row r="98" spans="1:25" x14ac:dyDescent="0.15">
      <c r="A98" s="6">
        <f>'[1]Основной сток'!A95</f>
        <v>1575004</v>
      </c>
      <c r="B98" t="s">
        <v>33</v>
      </c>
      <c r="D98" t="s">
        <v>34</v>
      </c>
      <c r="E98" t="s">
        <v>35</v>
      </c>
      <c r="F98" s="7" t="str">
        <f>PROPER(LEFT('[1]Основной сток'!I95,FIND(CHAR(10),'[1]Основной сток'!I95&amp;CHAR(10))-1))</f>
        <v>New Balance 530 White Silver Green</v>
      </c>
      <c r="G98" t="str">
        <f>F98 &amp; ", " &amp; '[1]Основной сток'!H95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сток'!J95 &amp; " / RU " &amp;
INDEX('[1]Размерная сетка'!$B$2:$B$40,MATCH('[1]Основной сток'!J95,'[1]Размерная сетка'!$A$2:$A$40,0)) &amp; " / US " &amp;
INDEX('[1]Размерная сетка'!$C$2:$C$40,MATCH('[1]Основной сток'!J95,'[1]Размерная сетка'!$A$2:$A$40,0)) &amp; " / см " &amp;
INDEX('[1]Размерная сетка'!$D$2:$D$40,MATCH('[1]Основной сток'!J95,'[1]Размерная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530 White Silver Green, MR530AB
• В наличии в Москве
• Оригинал, можно проверить при получении
• Совершенно новые, полный комплект
• Размер: EU 37 / RU 36 / US 6,5 / см 23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98" s="8">
        <f>'[1]Основной сток'!L95</f>
        <v>18000</v>
      </c>
      <c r="I98" s="1" t="str" cm="1">
        <f t="array" ref="I98">VLOOKUP(INDEX('[1]Основной сток'!H:H,ROW()-3),[1]Фотки!A:B,2,FALSE)</f>
        <v>https://i.ibb.co/LddMpNzY/1-1.jpg|https://i.ibb.co/LddMpNzY/1-1.jpg</v>
      </c>
      <c r="J98" t="s">
        <v>36</v>
      </c>
      <c r="K98" t="s">
        <v>37</v>
      </c>
      <c r="L98" t="str">
        <f t="shared" si="2"/>
        <v>Женская обувь</v>
      </c>
      <c r="M98" t="s">
        <v>38</v>
      </c>
      <c r="N98" t="s">
        <v>39</v>
      </c>
      <c r="O98" t="str">
        <f>PROPER('[1]Основной сток'!F95)</f>
        <v>New Balance</v>
      </c>
      <c r="P98" t="str">
        <f>'[1]Основной сток'!M95</f>
        <v>Белый</v>
      </c>
      <c r="R98" t="s">
        <v>41</v>
      </c>
      <c r="S98" t="s">
        <v>42</v>
      </c>
      <c r="T98" t="str">
        <f t="shared" si="3"/>
        <v>Кроссовки и кеды</v>
      </c>
      <c r="U98">
        <f>'[1]Основной сток'!J95 - 1</f>
        <v>36</v>
      </c>
      <c r="V98" t="s">
        <v>43</v>
      </c>
      <c r="X98" t="s">
        <v>44</v>
      </c>
      <c r="Y98" t="s">
        <v>45</v>
      </c>
    </row>
    <row r="99" spans="1:25" x14ac:dyDescent="0.15">
      <c r="A99" s="6">
        <f>'[1]Основной сток'!A96</f>
        <v>1575007</v>
      </c>
      <c r="B99" t="s">
        <v>33</v>
      </c>
      <c r="D99" t="s">
        <v>34</v>
      </c>
      <c r="E99" t="s">
        <v>35</v>
      </c>
      <c r="F99" s="7" t="str">
        <f>PROPER(LEFT('[1]Основной сток'!I96,FIND(CHAR(10),'[1]Основной сток'!I96&amp;CHAR(10))-1))</f>
        <v>New Balance 530 White Silver Green</v>
      </c>
      <c r="G99" t="str">
        <f>F99 &amp; ", " &amp; '[1]Основной сток'!H96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сток'!J96 &amp; " / RU " &amp;
INDEX('[1]Размерная сетка'!$B$2:$B$40,MATCH('[1]Основной сток'!J96,'[1]Размерная сетка'!$A$2:$A$40,0)) &amp; " / US " &amp;
INDEX('[1]Размерная сетка'!$C$2:$C$40,MATCH('[1]Основной сток'!J96,'[1]Размерная сетка'!$A$2:$A$40,0)) &amp; " / см " &amp;
INDEX('[1]Размерная сетка'!$D$2:$D$40,MATCH('[1]Основной сток'!J96,'[1]Размерная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530 White Silver Green, MR530AB
• В наличии в Москве
• Оригинал, можно проверить при получении
• Совершенно новые, полный комплект
• Размер: EU 39,5 / RU 38,5 / US 8-8,5 / см 24,7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99" s="8">
        <f>'[1]Основной сток'!L96</f>
        <v>18000</v>
      </c>
      <c r="I99" s="1" t="str" cm="1">
        <f t="array" ref="I99">VLOOKUP(INDEX('[1]Основной сток'!H:H,ROW()-3),[1]Фотки!A:B,2,FALSE)</f>
        <v>https://i.ibb.co/LddMpNzY/1-1.jpg|https://i.ibb.co/LddMpNzY/1-1.jpg</v>
      </c>
      <c r="J99" t="s">
        <v>36</v>
      </c>
      <c r="K99" t="s">
        <v>37</v>
      </c>
      <c r="L99" t="str">
        <f t="shared" si="2"/>
        <v>Женская обувь</v>
      </c>
      <c r="M99" t="s">
        <v>38</v>
      </c>
      <c r="N99" t="s">
        <v>39</v>
      </c>
      <c r="O99" t="str">
        <f>PROPER('[1]Основной сток'!F96)</f>
        <v>New Balance</v>
      </c>
      <c r="P99" t="str">
        <f>'[1]Основной сток'!M96</f>
        <v>Белый</v>
      </c>
      <c r="R99" t="s">
        <v>41</v>
      </c>
      <c r="S99" t="s">
        <v>42</v>
      </c>
      <c r="T99" t="str">
        <f t="shared" si="3"/>
        <v>Кроссовки и кеды</v>
      </c>
      <c r="U99">
        <f>'[1]Основной сток'!J96 - 1</f>
        <v>38.5</v>
      </c>
      <c r="V99" t="s">
        <v>43</v>
      </c>
      <c r="X99" t="s">
        <v>44</v>
      </c>
      <c r="Y99" t="s">
        <v>45</v>
      </c>
    </row>
    <row r="100" spans="1:25" x14ac:dyDescent="0.15">
      <c r="A100" s="6">
        <f>'[1]Основной сток'!A97</f>
        <v>1575008</v>
      </c>
      <c r="B100" t="s">
        <v>33</v>
      </c>
      <c r="D100" t="s">
        <v>34</v>
      </c>
      <c r="E100" t="s">
        <v>35</v>
      </c>
      <c r="F100" s="7" t="str">
        <f>PROPER(LEFT('[1]Основной сток'!I97,FIND(CHAR(10),'[1]Основной сток'!I97&amp;CHAR(10))-1))</f>
        <v>New Balance 530 White Silver Green</v>
      </c>
      <c r="G100" t="str">
        <f>F100 &amp; ", " &amp; '[1]Основной сток'!H97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сток'!J97 &amp; " / RU " &amp;
INDEX('[1]Размерная сетка'!$B$2:$B$40,MATCH('[1]Основной сток'!J97,'[1]Размерная сетка'!$A$2:$A$40,0)) &amp; " / US " &amp;
INDEX('[1]Размерная сетка'!$C$2:$C$40,MATCH('[1]Основной сток'!J97,'[1]Размерная сетка'!$A$2:$A$40,0)) &amp; " / см " &amp;
INDEX('[1]Размерная сетка'!$D$2:$D$40,MATCH('[1]Основной сток'!J97,'[1]Размерная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530 White Silver Green, MR530AB
• В наличии в Москве
• Оригинал, можно проверить при получении
• Совершенно новые, полный комплект
• Размер: EU 39,5 / RU 38,5 / US 8-8,5 / см 24,7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00" s="8">
        <f>'[1]Основной сток'!L97</f>
        <v>18000</v>
      </c>
      <c r="I100" s="1" t="str" cm="1">
        <f t="array" ref="I100">VLOOKUP(INDEX('[1]Основной сток'!H:H,ROW()-3),[1]Фотки!A:B,2,FALSE)</f>
        <v>https://i.ibb.co/LddMpNzY/1-1.jpg|https://i.ibb.co/LddMpNzY/1-1.jpg</v>
      </c>
      <c r="J100" t="s">
        <v>36</v>
      </c>
      <c r="K100" t="s">
        <v>37</v>
      </c>
      <c r="L100" t="str">
        <f t="shared" si="2"/>
        <v>Женская обувь</v>
      </c>
      <c r="M100" t="s">
        <v>38</v>
      </c>
      <c r="N100" t="s">
        <v>39</v>
      </c>
      <c r="O100" t="str">
        <f>PROPER('[1]Основной сток'!F97)</f>
        <v>New Balance</v>
      </c>
      <c r="P100" t="str">
        <f>'[1]Основной сток'!M97</f>
        <v>Белый</v>
      </c>
      <c r="R100" t="s">
        <v>41</v>
      </c>
      <c r="S100" t="s">
        <v>42</v>
      </c>
      <c r="T100" t="str">
        <f t="shared" si="3"/>
        <v>Кроссовки и кеды</v>
      </c>
      <c r="U100">
        <f>'[1]Основной сток'!J97 - 1</f>
        <v>38.5</v>
      </c>
      <c r="V100" t="s">
        <v>43</v>
      </c>
      <c r="X100" t="s">
        <v>44</v>
      </c>
      <c r="Y100" t="s">
        <v>45</v>
      </c>
    </row>
    <row r="101" spans="1:25" x14ac:dyDescent="0.15">
      <c r="A101" s="6">
        <f>'[1]Основной сток'!A98</f>
        <v>1579856</v>
      </c>
      <c r="B101" t="s">
        <v>33</v>
      </c>
      <c r="D101" t="s">
        <v>34</v>
      </c>
      <c r="E101" t="s">
        <v>35</v>
      </c>
      <c r="F101" s="7" t="str">
        <f>PROPER(LEFT('[1]Основной сток'!I98,FIND(CHAR(10),'[1]Основной сток'!I98&amp;CHAR(10))-1))</f>
        <v>Adidas Samba Og “White Green”</v>
      </c>
      <c r="G101" t="str">
        <f>F101 &amp; ", " &amp; '[1]Основной сток'!H98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сток'!J98 &amp; " / RU " &amp;
INDEX('[1]Размерная сетка'!$B$2:$B$40,MATCH('[1]Основной сток'!J98,'[1]Размерная сетка'!$A$2:$A$40,0)) &amp; " / US " &amp;
INDEX('[1]Размерная сетка'!$C$2:$C$40,MATCH('[1]Основной сток'!J98,'[1]Размерная сетка'!$A$2:$A$40,0)) &amp; " / см " &amp;
INDEX('[1]Размерная сетка'!$D$2:$D$40,MATCH('[1]Основной сток'!J98,'[1]Размерная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Og “White Green”, IG1024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01" s="8">
        <f>'[1]Основной сток'!L98</f>
        <v>18000</v>
      </c>
      <c r="I101" s="1" t="str" cm="1">
        <f t="array" ref="I101">VLOOKUP(INDEX('[1]Основной сток'!H:H,ROW()-3),[1]Фотки!A:B,2,FALSE)</f>
        <v>https://i.ibb.co/M4C7wvF/1-1.jpg|https://i.ibb.co/MDkJvnKs/2.jpg|https://i.ibb.co/5h81CF5t/3.jpg|https://i.ibb.co/GyHVGDf/4.jpg</v>
      </c>
      <c r="J101" t="s">
        <v>36</v>
      </c>
      <c r="K101" t="s">
        <v>37</v>
      </c>
      <c r="L101" t="str">
        <f t="shared" si="2"/>
        <v>Женская обувь</v>
      </c>
      <c r="M101" t="s">
        <v>38</v>
      </c>
      <c r="N101" t="s">
        <v>39</v>
      </c>
      <c r="O101" t="str">
        <f>PROPER('[1]Основной сток'!F98)</f>
        <v>Adidas</v>
      </c>
      <c r="P101" t="str">
        <f>'[1]Основной сток'!M98</f>
        <v>Зелёный</v>
      </c>
      <c r="R101" t="s">
        <v>41</v>
      </c>
      <c r="S101" t="s">
        <v>42</v>
      </c>
      <c r="T101" t="str">
        <f t="shared" si="3"/>
        <v>Кроссовки и кеды</v>
      </c>
      <c r="U101">
        <f>'[1]Основной сток'!J98 - 1</f>
        <v>39</v>
      </c>
      <c r="V101" t="s">
        <v>43</v>
      </c>
      <c r="X101" t="s">
        <v>44</v>
      </c>
      <c r="Y101" t="s">
        <v>45</v>
      </c>
    </row>
    <row r="102" spans="1:25" x14ac:dyDescent="0.15">
      <c r="A102" s="6">
        <f>'[1]Основной сток'!A99</f>
        <v>1579870</v>
      </c>
      <c r="B102" t="s">
        <v>33</v>
      </c>
      <c r="D102" t="s">
        <v>34</v>
      </c>
      <c r="E102" t="s">
        <v>35</v>
      </c>
      <c r="F102" s="7" t="str">
        <f>PROPER(LEFT('[1]Основной сток'!I99,FIND(CHAR(10),'[1]Основной сток'!I99&amp;CHAR(10))-1))</f>
        <v>Nike Dunk Low Social Status Chocolate Milk</v>
      </c>
      <c r="G102" t="str">
        <f>F102 &amp; ", " &amp; '[1]Основной сток'!H99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сток'!J99 &amp; " / RU " &amp;
INDEX('[1]Размерная сетка'!$B$2:$B$40,MATCH('[1]Основной сток'!J99,'[1]Размерная сетка'!$A$2:$A$40,0)) &amp; " / US " &amp;
INDEX('[1]Размерная сетка'!$C$2:$C$40,MATCH('[1]Основной сток'!J99,'[1]Размерная сетка'!$A$2:$A$40,0)) &amp; " / см " &amp;
INDEX('[1]Размерная сетка'!$D$2:$D$40,MATCH('[1]Основной сток'!J99,'[1]Размерная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Social Status Chocolate Milk, DJ1173-700
• В наличии в Москве
• Оригинал, можно проверить при получении
• Совершенно новые, полный комплект
• Размер: EU 42 / RU 41 / US 8,5 / см 26,3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02" s="8">
        <f>'[1]Основной сток'!L99</f>
        <v>24000</v>
      </c>
      <c r="I102" s="1" t="str" cm="1">
        <f t="array" ref="I102">VLOOKUP(INDEX('[1]Основной сток'!H:H,ROW()-3),[1]Фотки!A:B,2,FALSE)</f>
        <v>https://i.ibb.co/FLJ2ntX7/1-2.jpg|https://i.ibb.co/1YgKQLm8/2.jpg|https://i.ibb.co/Zph2Mms7/3.jpg|https://i.ibb.co/7tCPKM8c/4.jpg</v>
      </c>
      <c r="J102" t="s">
        <v>36</v>
      </c>
      <c r="K102" t="s">
        <v>37</v>
      </c>
      <c r="L102" t="str">
        <f t="shared" si="2"/>
        <v>Мужская обувь</v>
      </c>
      <c r="M102" t="s">
        <v>38</v>
      </c>
      <c r="N102" t="s">
        <v>39</v>
      </c>
      <c r="O102" t="str">
        <f>PROPER('[1]Основной сток'!F99)</f>
        <v>Nike</v>
      </c>
      <c r="P102" t="str">
        <f>'[1]Основной сток'!M99</f>
        <v>Красный</v>
      </c>
      <c r="R102" t="s">
        <v>41</v>
      </c>
      <c r="S102" t="s">
        <v>42</v>
      </c>
      <c r="T102" t="str">
        <f t="shared" si="3"/>
        <v>Кроссовки</v>
      </c>
      <c r="U102">
        <f>'[1]Основной сток'!J99 - 1</f>
        <v>41</v>
      </c>
      <c r="V102" t="s">
        <v>43</v>
      </c>
      <c r="X102" t="s">
        <v>44</v>
      </c>
      <c r="Y102" t="s">
        <v>45</v>
      </c>
    </row>
    <row r="103" spans="1:25" x14ac:dyDescent="0.15">
      <c r="A103" s="6">
        <f>'[1]Основной сток'!A100</f>
        <v>1579876</v>
      </c>
      <c r="B103" t="s">
        <v>33</v>
      </c>
      <c r="D103" t="s">
        <v>34</v>
      </c>
      <c r="E103" t="s">
        <v>35</v>
      </c>
      <c r="F103" s="7" t="str">
        <f>PROPER(LEFT('[1]Основной сток'!I100,FIND(CHAR(10),'[1]Основной сток'!I100&amp;CHAR(10))-1))</f>
        <v>Nike J Force 1 Low X Jacquemus</v>
      </c>
      <c r="G103" t="str">
        <f>F103 &amp; ", " &amp; '[1]Основной сток'!H100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сток'!J100 &amp; " / RU " &amp;
INDEX('[1]Размерная сетка'!$B$2:$B$40,MATCH('[1]Основной сток'!J100,'[1]Размерная сетка'!$A$2:$A$40,0)) &amp; " / US " &amp;
INDEX('[1]Размерная сетка'!$C$2:$C$40,MATCH('[1]Основной сток'!J100,'[1]Размерная сетка'!$A$2:$A$40,0)) &amp; " / см " &amp;
INDEX('[1]Размерная сетка'!$D$2:$D$40,MATCH('[1]Основной сток'!J100,'[1]Размерная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J Force 1 Low X Jacquemus, DR0424-100
• В наличии в Москве
• Оригинал, можно проверить при получении
• Совершенно новые, полный комплект
• Размер: EU 35,5 / RU 34,5 / US 5 / см 22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03" s="8">
        <f>'[1]Основной сток'!L100</f>
        <v>13900</v>
      </c>
      <c r="I103" s="1" t="str" cm="1">
        <f t="array" ref="I103">VLOOKUP(INDEX('[1]Основной сток'!H:H,ROW()-3),[1]Фотки!A:B,2,FALSE)</f>
        <v>https://i.ibb.co/gZ3pt9Zt/1.jpg|https://i.ibb.co/QvXZHwG0/2.jpg|https://i.ibb.co/LzN8RzDs/3.jpg|https://i.ibb.co/JRdxY9MW/4.jpg</v>
      </c>
      <c r="J103" t="s">
        <v>36</v>
      </c>
      <c r="K103" t="s">
        <v>37</v>
      </c>
      <c r="L103" t="str">
        <f t="shared" si="2"/>
        <v>Женская обувь</v>
      </c>
      <c r="M103" t="s">
        <v>38</v>
      </c>
      <c r="N103" t="s">
        <v>39</v>
      </c>
      <c r="O103" t="str">
        <f>PROPER('[1]Основной сток'!F100)</f>
        <v>Nike</v>
      </c>
      <c r="P103" t="str">
        <f>'[1]Основной сток'!M100</f>
        <v>Белый</v>
      </c>
      <c r="R103" t="s">
        <v>41</v>
      </c>
      <c r="S103" t="s">
        <v>42</v>
      </c>
      <c r="T103" t="str">
        <f t="shared" si="3"/>
        <v>Кроссовки и кеды</v>
      </c>
      <c r="U103">
        <f>'[1]Основной сток'!J100 - 1</f>
        <v>34.5</v>
      </c>
      <c r="V103" t="s">
        <v>43</v>
      </c>
      <c r="X103" t="s">
        <v>44</v>
      </c>
      <c r="Y103" t="s">
        <v>45</v>
      </c>
    </row>
    <row r="104" spans="1:25" x14ac:dyDescent="0.15">
      <c r="A104" s="6">
        <f>'[1]Основной сток'!A101</f>
        <v>1583345</v>
      </c>
      <c r="B104" t="s">
        <v>33</v>
      </c>
      <c r="D104" t="s">
        <v>34</v>
      </c>
      <c r="E104" t="s">
        <v>35</v>
      </c>
      <c r="F104" s="7" t="str">
        <f>PROPER(LEFT('[1]Основной сток'!I101,FIND(CHAR(10),'[1]Основной сток'!I101&amp;CHAR(10))-1))</f>
        <v>Adidas Gazelle Indoor Cream Green</v>
      </c>
      <c r="G104" t="str">
        <f>F104 &amp; ", " &amp; '[1]Основной сток'!H101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сток'!J101 &amp; " / RU " &amp;
INDEX('[1]Размерная сетка'!$B$2:$B$40,MATCH('[1]Основной сток'!J101,'[1]Размерная сетка'!$A$2:$A$40,0)) &amp; " / US " &amp;
INDEX('[1]Размерная сетка'!$C$2:$C$40,MATCH('[1]Основной сток'!J101,'[1]Размерная сетка'!$A$2:$A$40,0)) &amp; " / см " &amp;
INDEX('[1]Размерная сетка'!$D$2:$D$40,MATCH('[1]Основной сток'!J101,'[1]Размерная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Indoor Cream Green, ID2567
• В наличии в Москве
• Оригинал, можно проверить при получении
• Совершенно новые, полный комплект
• Размер: EU 36,5 / RU 35,5 / US 6 / см 22,7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04" s="8">
        <f>'[1]Основной сток'!L101</f>
        <v>20000</v>
      </c>
      <c r="I104" s="1" t="str" cm="1">
        <f t="array" ref="I104">VLOOKUP(INDEX('[1]Основной сток'!H:H,ROW()-3),[1]Фотки!A:B,2,FALSE)</f>
        <v>https://i.ibb.co/d0ZdTL7F/1.jpg|https://i.ibb.co/DD7d3pX9/2.jpg|https://i.ibb.co/pv5g4sMx/3.jpg|https://i.ibb.co/N2sZCPTD/4.jpg</v>
      </c>
      <c r="J104" t="s">
        <v>36</v>
      </c>
      <c r="K104" t="s">
        <v>37</v>
      </c>
      <c r="L104" t="str">
        <f t="shared" si="2"/>
        <v>Женская обувь</v>
      </c>
      <c r="M104" t="s">
        <v>38</v>
      </c>
      <c r="N104" t="s">
        <v>39</v>
      </c>
      <c r="O104" t="str">
        <f>PROPER('[1]Основной сток'!F101)</f>
        <v>Adidas</v>
      </c>
      <c r="P104" t="str">
        <f>'[1]Основной сток'!M101</f>
        <v>Зелёный</v>
      </c>
      <c r="R104" t="s">
        <v>41</v>
      </c>
      <c r="S104" t="s">
        <v>42</v>
      </c>
      <c r="T104" t="str">
        <f t="shared" si="3"/>
        <v>Кроссовки и кеды</v>
      </c>
      <c r="U104">
        <f>'[1]Основной сток'!J101 - 1</f>
        <v>35.5</v>
      </c>
      <c r="V104" t="s">
        <v>43</v>
      </c>
      <c r="X104" t="s">
        <v>44</v>
      </c>
      <c r="Y104" t="s">
        <v>45</v>
      </c>
    </row>
    <row r="105" spans="1:25" x14ac:dyDescent="0.15">
      <c r="A105" s="6">
        <f>'[1]Основной сток'!A102</f>
        <v>1587630</v>
      </c>
      <c r="B105" t="s">
        <v>33</v>
      </c>
      <c r="D105" t="s">
        <v>34</v>
      </c>
      <c r="E105" t="s">
        <v>35</v>
      </c>
      <c r="F105" s="7" t="str">
        <f>PROPER(LEFT('[1]Основной сток'!I102,FIND(CHAR(10),'[1]Основной сток'!I102&amp;CHAR(10))-1))</f>
        <v xml:space="preserve">Air Jordan 1 Low Wolf Grey </v>
      </c>
      <c r="G105" t="str">
        <f>F105 &amp; ", " &amp; '[1]Основной сток'!H102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сток'!J102 &amp; " / RU " &amp;
INDEX('[1]Размерная сетка'!$B$2:$B$40,MATCH('[1]Основной сток'!J102,'[1]Размерная сетка'!$A$2:$A$40,0)) &amp; " / US " &amp;
INDEX('[1]Размерная сетка'!$C$2:$C$40,MATCH('[1]Основной сток'!J102,'[1]Размерная сетка'!$A$2:$A$40,0)) &amp; " / см " &amp;
INDEX('[1]Размерная сетка'!$D$2:$D$40,MATCH('[1]Основной сток'!J102,'[1]Размерная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Low Wolf Grey , DC0774-105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05" s="8">
        <f>'[1]Основной сток'!L102</f>
        <v>20000</v>
      </c>
      <c r="I105" s="1" t="str" cm="1">
        <f t="array" ref="I105">VLOOKUP(INDEX('[1]Основной сток'!H:H,ROW()-3),[1]Фотки!A:B,2,FALSE)</f>
        <v>https://i.ibb.co/qYc980yL/1-1.jpg</v>
      </c>
      <c r="J105" t="s">
        <v>36</v>
      </c>
      <c r="K105" t="s">
        <v>37</v>
      </c>
      <c r="L105" t="str">
        <f t="shared" si="2"/>
        <v>Женская обувь</v>
      </c>
      <c r="M105" t="s">
        <v>38</v>
      </c>
      <c r="N105" t="s">
        <v>39</v>
      </c>
      <c r="O105" t="str">
        <f>PROPER('[1]Основной сток'!F102)</f>
        <v>Jordan</v>
      </c>
      <c r="P105" t="str">
        <f>'[1]Основной сток'!M102</f>
        <v>Серый</v>
      </c>
      <c r="R105" t="s">
        <v>41</v>
      </c>
      <c r="S105" t="s">
        <v>42</v>
      </c>
      <c r="T105" t="str">
        <f t="shared" si="3"/>
        <v>Кроссовки и кеды</v>
      </c>
      <c r="U105">
        <f>'[1]Основной сток'!J102 - 1</f>
        <v>39</v>
      </c>
      <c r="V105" t="s">
        <v>43</v>
      </c>
      <c r="X105" t="s">
        <v>44</v>
      </c>
      <c r="Y105" t="s">
        <v>45</v>
      </c>
    </row>
    <row r="106" spans="1:25" x14ac:dyDescent="0.15">
      <c r="A106" s="6">
        <f>'[1]Основной сток'!A103</f>
        <v>1587635</v>
      </c>
      <c r="B106" t="s">
        <v>33</v>
      </c>
      <c r="D106" t="s">
        <v>34</v>
      </c>
      <c r="E106" t="s">
        <v>35</v>
      </c>
      <c r="F106" s="7" t="str">
        <f>PROPER(LEFT('[1]Основной сток'!I103,FIND(CHAR(10),'[1]Основной сток'!I103&amp;CHAR(10))-1))</f>
        <v xml:space="preserve">Air Jordan 1 Low Panda </v>
      </c>
      <c r="G106" t="str">
        <f>F106 &amp; ", " &amp; '[1]Основной сток'!H103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сток'!J103 &amp; " / RU " &amp;
INDEX('[1]Размерная сетка'!$B$2:$B$40,MATCH('[1]Основной сток'!J103,'[1]Размерная сетка'!$A$2:$A$40,0)) &amp; " / US " &amp;
INDEX('[1]Размерная сетка'!$C$2:$C$40,MATCH('[1]Основной сток'!J103,'[1]Размерная сетка'!$A$2:$A$40,0)) &amp; " / см " &amp;
INDEX('[1]Размерная сетка'!$D$2:$D$40,MATCH('[1]Основной сток'!J103,'[1]Размерная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Low Panda , DC0774-101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06" s="8">
        <f>'[1]Основной сток'!L103</f>
        <v>19900</v>
      </c>
      <c r="I106" s="1" t="str" cm="1">
        <f t="array" ref="I106">VLOOKUP(INDEX('[1]Основной сток'!H:H,ROW()-3),[1]Фотки!A:B,2,FALSE)</f>
        <v>https://i.ibb.co/N2wLbZmW/1.jpg|https://i.ibb.co/Mxjf59BW/2.jpg|https://i.ibb.co/htMYtPy/3.jpg|https://i.ibb.co/5gQ0d6gP/4.jpg</v>
      </c>
      <c r="J106" t="s">
        <v>36</v>
      </c>
      <c r="K106" t="s">
        <v>37</v>
      </c>
      <c r="L106" t="str">
        <f t="shared" si="2"/>
        <v>Женская обувь</v>
      </c>
      <c r="M106" t="s">
        <v>38</v>
      </c>
      <c r="N106" t="s">
        <v>39</v>
      </c>
      <c r="O106" t="str">
        <f>PROPER('[1]Основной сток'!F103)</f>
        <v>Jordan</v>
      </c>
      <c r="P106" t="str">
        <f>'[1]Основной сток'!M103</f>
        <v>Черный</v>
      </c>
      <c r="R106" t="s">
        <v>41</v>
      </c>
      <c r="S106" t="s">
        <v>42</v>
      </c>
      <c r="T106" t="str">
        <f t="shared" si="3"/>
        <v>Кроссовки и кеды</v>
      </c>
      <c r="U106">
        <f>'[1]Основной сток'!J103 - 1</f>
        <v>38</v>
      </c>
      <c r="V106" t="s">
        <v>43</v>
      </c>
      <c r="X106" t="s">
        <v>44</v>
      </c>
      <c r="Y106" t="s">
        <v>45</v>
      </c>
    </row>
    <row r="107" spans="1:25" x14ac:dyDescent="0.15">
      <c r="A107" s="6">
        <f>'[1]Основной сток'!A104</f>
        <v>1587636</v>
      </c>
      <c r="B107" t="s">
        <v>33</v>
      </c>
      <c r="D107" t="s">
        <v>34</v>
      </c>
      <c r="E107" t="s">
        <v>35</v>
      </c>
      <c r="F107" s="7" t="str">
        <f>PROPER(LEFT('[1]Основной сток'!I104,FIND(CHAR(10),'[1]Основной сток'!I104&amp;CHAR(10))-1))</f>
        <v xml:space="preserve">Air Jordan 1 Low Panda </v>
      </c>
      <c r="G107" t="str">
        <f>F107 &amp; ", " &amp; '[1]Основной сток'!H104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сток'!J104 &amp; " / RU " &amp;
INDEX('[1]Размерная сетка'!$B$2:$B$40,MATCH('[1]Основной сток'!J104,'[1]Размерная сетка'!$A$2:$A$40,0)) &amp; " / US " &amp;
INDEX('[1]Размерная сетка'!$C$2:$C$40,MATCH('[1]Основной сток'!J104,'[1]Размерная сетка'!$A$2:$A$40,0)) &amp; " / см " &amp;
INDEX('[1]Размерная сетка'!$D$2:$D$40,MATCH('[1]Основной сток'!J104,'[1]Размерная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Low Panda , DC0774-101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07" s="8">
        <f>'[1]Основной сток'!L104</f>
        <v>19900</v>
      </c>
      <c r="I107" s="1" t="str" cm="1">
        <f t="array" ref="I107">VLOOKUP(INDEX('[1]Основной сток'!H:H,ROW()-3),[1]Фотки!A:B,2,FALSE)</f>
        <v>https://i.ibb.co/N2wLbZmW/1.jpg|https://i.ibb.co/Mxjf59BW/2.jpg|https://i.ibb.co/htMYtPy/3.jpg|https://i.ibb.co/5gQ0d6gP/4.jpg</v>
      </c>
      <c r="J107" t="s">
        <v>36</v>
      </c>
      <c r="K107" t="s">
        <v>37</v>
      </c>
      <c r="L107" t="str">
        <f t="shared" si="2"/>
        <v>Женская обувь</v>
      </c>
      <c r="M107" t="s">
        <v>38</v>
      </c>
      <c r="N107" t="s">
        <v>39</v>
      </c>
      <c r="O107" t="str">
        <f>PROPER('[1]Основной сток'!F104)</f>
        <v>Jordan</v>
      </c>
      <c r="P107" t="str">
        <f>'[1]Основной сток'!M104</f>
        <v>Черный</v>
      </c>
      <c r="R107" t="s">
        <v>41</v>
      </c>
      <c r="S107" t="s">
        <v>42</v>
      </c>
      <c r="T107" t="str">
        <f t="shared" si="3"/>
        <v>Кроссовки и кеды</v>
      </c>
      <c r="U107">
        <f>'[1]Основной сток'!J104 - 1</f>
        <v>39</v>
      </c>
      <c r="V107" t="s">
        <v>43</v>
      </c>
      <c r="X107" t="s">
        <v>44</v>
      </c>
      <c r="Y107" t="s">
        <v>45</v>
      </c>
    </row>
    <row r="108" spans="1:25" x14ac:dyDescent="0.15">
      <c r="A108" s="6">
        <f>'[1]Основной сток'!A105</f>
        <v>1587653</v>
      </c>
      <c r="B108" t="s">
        <v>33</v>
      </c>
      <c r="D108" t="s">
        <v>34</v>
      </c>
      <c r="E108" t="s">
        <v>35</v>
      </c>
      <c r="F108" s="7" t="str">
        <f>PROPER(LEFT('[1]Основной сток'!I105,FIND(CHAR(10),'[1]Основной сток'!I105&amp;CHAR(10))-1))</f>
        <v>Air Jordan 1 Low «Black Toe»</v>
      </c>
      <c r="G108" t="str">
        <f>F108 &amp; ", " &amp; '[1]Основной сток'!H105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сток'!J105 &amp; " / RU " &amp;
INDEX('[1]Размерная сетка'!$B$2:$B$40,MATCH('[1]Основной сток'!J105,'[1]Размерная сетка'!$A$2:$A$40,0)) &amp; " / US " &amp;
INDEX('[1]Размерная сетка'!$C$2:$C$40,MATCH('[1]Основной сток'!J105,'[1]Размерная сетка'!$A$2:$A$40,0)) &amp; " / см " &amp;
INDEX('[1]Размерная сетка'!$D$2:$D$40,MATCH('[1]Основной сток'!J105,'[1]Размерная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Low «Black Toe», CZ0790-106
• В наличии в Москве
• Оригинал, можно проверить при получении
• Совершенно новые, полный комплект
• Размер: EU 42,5 / RU 41,5 / US 9 / см 26,7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08" s="8">
        <f>'[1]Основной сток'!L105</f>
        <v>19900</v>
      </c>
      <c r="I108" s="1" t="str" cm="1">
        <f t="array" ref="I108">VLOOKUP(INDEX('[1]Основной сток'!H:H,ROW()-3),[1]Фотки!A:B,2,FALSE)</f>
        <v>https://i.ibb.co/6cW50xv5/1-1.jpg|https://i.ibb.co/KzqD6zkm/2.jpg|https://i.ibb.co/Q7X7z9zM/3.jpg|https://i.ibb.co/LD4njZxL/4.jpg</v>
      </c>
      <c r="J108" t="s">
        <v>36</v>
      </c>
      <c r="K108" t="s">
        <v>37</v>
      </c>
      <c r="L108" t="str">
        <f t="shared" si="2"/>
        <v>Мужская обувь</v>
      </c>
      <c r="M108" t="s">
        <v>38</v>
      </c>
      <c r="N108" t="s">
        <v>39</v>
      </c>
      <c r="O108" t="str">
        <f>PROPER('[1]Основной сток'!F105)</f>
        <v>Jordan</v>
      </c>
      <c r="P108" t="str">
        <f>'[1]Основной сток'!M105</f>
        <v>Красный</v>
      </c>
      <c r="R108" t="s">
        <v>41</v>
      </c>
      <c r="S108" t="s">
        <v>42</v>
      </c>
      <c r="T108" t="str">
        <f t="shared" si="3"/>
        <v>Кроссовки</v>
      </c>
      <c r="U108">
        <f>'[1]Основной сток'!J105 - 1</f>
        <v>41.5</v>
      </c>
      <c r="V108" t="s">
        <v>43</v>
      </c>
      <c r="X108" t="s">
        <v>44</v>
      </c>
      <c r="Y108" t="s">
        <v>45</v>
      </c>
    </row>
    <row r="109" spans="1:25" x14ac:dyDescent="0.15">
      <c r="A109" s="6">
        <f>'[1]Основной сток'!A106</f>
        <v>1587658</v>
      </c>
      <c r="B109" t="s">
        <v>33</v>
      </c>
      <c r="D109" t="s">
        <v>34</v>
      </c>
      <c r="E109" t="s">
        <v>35</v>
      </c>
      <c r="F109" s="7" t="str">
        <f>PROPER(LEFT('[1]Основной сток'!I106,FIND(CHAR(10),'[1]Основной сток'!I106&amp;CHAR(10))-1))</f>
        <v>Air Jordan 1 Low «Black Toe»</v>
      </c>
      <c r="G109" t="str">
        <f>F109 &amp; ", " &amp; '[1]Основной сток'!H106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сток'!J106 &amp; " / RU " &amp;
INDEX('[1]Размерная сетка'!$B$2:$B$40,MATCH('[1]Основной сток'!J106,'[1]Размерная сетка'!$A$2:$A$40,0)) &amp; " / US " &amp;
INDEX('[1]Размерная сетка'!$C$2:$C$40,MATCH('[1]Основной сток'!J106,'[1]Размерная сетка'!$A$2:$A$40,0)) &amp; " / см " &amp;
INDEX('[1]Размерная сетка'!$D$2:$D$40,MATCH('[1]Основной сток'!J106,'[1]Размерная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Low «Black Toe», CZ0790-106
• В наличии в Москве
• Оригинал, можно проверить при получении
• Совершенно новые, полный комплект
• Размер: EU 45 / RU 44 / US 11 / см 28,3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09" s="8">
        <f>'[1]Основной сток'!L106</f>
        <v>19900</v>
      </c>
      <c r="I109" s="1" t="str" cm="1">
        <f t="array" ref="I109">VLOOKUP(INDEX('[1]Основной сток'!H:H,ROW()-3),[1]Фотки!A:B,2,FALSE)</f>
        <v>https://i.ibb.co/6cW50xv5/1-1.jpg|https://i.ibb.co/KzqD6zkm/2.jpg|https://i.ibb.co/Q7X7z9zM/3.jpg|https://i.ibb.co/LD4njZxL/4.jpg</v>
      </c>
      <c r="J109" t="s">
        <v>36</v>
      </c>
      <c r="K109" t="s">
        <v>37</v>
      </c>
      <c r="L109" t="str">
        <f t="shared" si="2"/>
        <v>Мужская обувь</v>
      </c>
      <c r="M109" t="s">
        <v>38</v>
      </c>
      <c r="N109" t="s">
        <v>39</v>
      </c>
      <c r="O109" t="str">
        <f>PROPER('[1]Основной сток'!F106)</f>
        <v>Jordan</v>
      </c>
      <c r="P109" t="str">
        <f>'[1]Основной сток'!M106</f>
        <v>Красный</v>
      </c>
      <c r="R109" t="s">
        <v>41</v>
      </c>
      <c r="S109" t="s">
        <v>42</v>
      </c>
      <c r="T109" t="str">
        <f t="shared" si="3"/>
        <v>Кроссовки</v>
      </c>
      <c r="U109">
        <f>'[1]Основной сток'!J106 - 1</f>
        <v>44</v>
      </c>
      <c r="V109" t="s">
        <v>43</v>
      </c>
      <c r="X109" t="s">
        <v>44</v>
      </c>
      <c r="Y109" t="s">
        <v>45</v>
      </c>
    </row>
    <row r="110" spans="1:25" x14ac:dyDescent="0.15">
      <c r="A110" s="6">
        <f>'[1]Основной сток'!A107</f>
        <v>1587666</v>
      </c>
      <c r="B110" t="s">
        <v>33</v>
      </c>
      <c r="D110" t="s">
        <v>34</v>
      </c>
      <c r="E110" t="s">
        <v>35</v>
      </c>
      <c r="F110" s="7" t="str">
        <f>PROPER(LEFT('[1]Основной сток'!I107,FIND(CHAR(10),'[1]Основной сток'!I107&amp;CHAR(10))-1))</f>
        <v>Air Jordan 1 Low «Bunny Rabbit»</v>
      </c>
      <c r="G110" t="str">
        <f>F110 &amp; ", " &amp; '[1]Основной сток'!H107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сток'!J107 &amp; " / RU " &amp;
INDEX('[1]Размерная сетка'!$B$2:$B$40,MATCH('[1]Основной сток'!J107,'[1]Размерная сетка'!$A$2:$A$40,0)) &amp; " / US " &amp;
INDEX('[1]Размерная сетка'!$C$2:$C$40,MATCH('[1]Основной сток'!J107,'[1]Размерная сетка'!$A$2:$A$40,0)) &amp; " / см " &amp;
INDEX('[1]Размерная сетка'!$D$2:$D$40,MATCH('[1]Основной сток'!J107,'[1]Размерная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Low «Bunny Rabbit», DZ6333-083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10" s="8">
        <f>'[1]Основной сток'!L107</f>
        <v>16000</v>
      </c>
      <c r="I110" s="1" t="str" cm="1">
        <f t="array" ref="I110">VLOOKUP(INDEX('[1]Основной сток'!H:H,ROW()-3),[1]Фотки!A:B,2,FALSE)</f>
        <v>https://i.ibb.co/35Fch8nC/1.jpg|https://i.ibb.co/mCNxmRhB/2.jpg|https://i.ibb.co/Z12KzYNV/3.jpg|https://i.ibb.co/VW7H4Cf1/4.jpg</v>
      </c>
      <c r="J110" t="s">
        <v>36</v>
      </c>
      <c r="K110" t="s">
        <v>37</v>
      </c>
      <c r="L110" t="str">
        <f t="shared" si="2"/>
        <v>Женская обувь</v>
      </c>
      <c r="M110" t="s">
        <v>38</v>
      </c>
      <c r="N110" t="s">
        <v>39</v>
      </c>
      <c r="O110" t="str">
        <f>PROPER('[1]Основной сток'!F107)</f>
        <v>Jordan</v>
      </c>
      <c r="P110" t="str">
        <f>'[1]Основной сток'!M107</f>
        <v>Серый</v>
      </c>
      <c r="R110" t="s">
        <v>41</v>
      </c>
      <c r="S110" t="s">
        <v>42</v>
      </c>
      <c r="T110" t="str">
        <f t="shared" si="3"/>
        <v>Кроссовки и кеды</v>
      </c>
      <c r="U110">
        <f>'[1]Основной сток'!J107 - 1</f>
        <v>38</v>
      </c>
      <c r="V110" t="s">
        <v>43</v>
      </c>
      <c r="X110" t="s">
        <v>44</v>
      </c>
      <c r="Y110" t="s">
        <v>45</v>
      </c>
    </row>
    <row r="111" spans="1:25" x14ac:dyDescent="0.15">
      <c r="A111" s="6">
        <f>'[1]Основной сток'!A108</f>
        <v>1590676</v>
      </c>
      <c r="B111" t="s">
        <v>33</v>
      </c>
      <c r="D111" t="s">
        <v>34</v>
      </c>
      <c r="E111" t="s">
        <v>35</v>
      </c>
      <c r="F111" s="7" t="str">
        <f>PROPER(LEFT('[1]Основной сток'!I108,FIND(CHAR(10),'[1]Основной сток'!I108&amp;CHAR(10))-1))</f>
        <v>Adidas Samba Og Sporty &amp; Rich Blue Grey</v>
      </c>
      <c r="G111" t="str">
        <f>F111 &amp; ", " &amp; '[1]Основной сток'!H108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сток'!J108 &amp; " / RU " &amp;
INDEX('[1]Размерная сетка'!$B$2:$B$40,MATCH('[1]Основной сток'!J108,'[1]Размерная сетка'!$A$2:$A$40,0)) &amp; " / US " &amp;
INDEX('[1]Размерная сетка'!$C$2:$C$40,MATCH('[1]Основной сток'!J108,'[1]Размерная сетка'!$A$2:$A$40,0)) &amp; " / см " &amp;
INDEX('[1]Размерная сетка'!$D$2:$D$40,MATCH('[1]Основной сток'!J108,'[1]Размерная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Og Sporty &amp; Rich Blue Grey, IE6975
• В наличии в Москве
• Оригинал, можно проверить при получении
• Совершенно новые, полный комплект
• Размер: EU 42 / RU 41 / US 8,5 / см 26,3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11" s="8">
        <f>'[1]Основной сток'!L108</f>
        <v>40000</v>
      </c>
      <c r="I111" s="1" t="str" cm="1">
        <f t="array" ref="I111">VLOOKUP(INDEX('[1]Основной сток'!H:H,ROW()-3),[1]Фотки!A:B,2,FALSE)</f>
        <v>https://i.ibb.co/HT4Myg9w/1.jpg|https://i.ibb.co/rKpgY6hV/2.jpg|https://i.ibb.co/nsHj6w7M/3.jpg|https://i.ibb.co/PZjvdqyB/4.jpg</v>
      </c>
      <c r="J111" t="s">
        <v>36</v>
      </c>
      <c r="K111" t="s">
        <v>37</v>
      </c>
      <c r="L111" t="str">
        <f t="shared" si="2"/>
        <v>Мужская обувь</v>
      </c>
      <c r="M111" t="s">
        <v>38</v>
      </c>
      <c r="N111" t="s">
        <v>39</v>
      </c>
      <c r="O111" t="str">
        <f>PROPER('[1]Основной сток'!F108)</f>
        <v>Nike</v>
      </c>
      <c r="P111" t="str">
        <f>'[1]Основной сток'!M108</f>
        <v>Голубой</v>
      </c>
      <c r="R111" t="s">
        <v>41</v>
      </c>
      <c r="S111" t="s">
        <v>42</v>
      </c>
      <c r="T111" t="str">
        <f t="shared" si="3"/>
        <v>Кроссовки</v>
      </c>
      <c r="U111">
        <f>'[1]Основной сток'!J108 - 1</f>
        <v>41</v>
      </c>
      <c r="V111" t="s">
        <v>43</v>
      </c>
      <c r="X111" t="s">
        <v>44</v>
      </c>
      <c r="Y111" t="s">
        <v>45</v>
      </c>
    </row>
    <row r="112" spans="1:25" x14ac:dyDescent="0.15">
      <c r="A112" s="6">
        <f>'[1]Основной сток'!A109</f>
        <v>1603306</v>
      </c>
      <c r="B112" t="s">
        <v>33</v>
      </c>
      <c r="D112" t="s">
        <v>34</v>
      </c>
      <c r="E112" t="s">
        <v>35</v>
      </c>
      <c r="F112" s="7" t="str">
        <f>PROPER(LEFT('[1]Основной сток'!I109,FIND(CHAR(10),'[1]Основной сток'!I109&amp;CHAR(10))-1))</f>
        <v>Adidas Samba Og Sporty &amp; Rich Blue Grey</v>
      </c>
      <c r="G112" t="str">
        <f>F112 &amp; ", " &amp; '[1]Основной сток'!H109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сток'!J109 &amp; " / RU " &amp;
INDEX('[1]Размерная сетка'!$B$2:$B$40,MATCH('[1]Основной сток'!J109,'[1]Размерная сетка'!$A$2:$A$40,0)) &amp; " / US " &amp;
INDEX('[1]Размерная сетка'!$C$2:$C$40,MATCH('[1]Основной сток'!J109,'[1]Размерная сетка'!$A$2:$A$40,0)) &amp; " / см " &amp;
INDEX('[1]Размерная сетка'!$D$2:$D$40,MATCH('[1]Основной сток'!J109,'[1]Размерная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Og Sporty &amp; Rich Blue Grey, IE6975
• В наличии в Москве
• Оригинал, можно проверить при получении
• Совершенно новые, полный комплект
• Размер: EU 37 / RU 36 / US 6,5 / см 23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12" s="8">
        <f>'[1]Основной сток'!L109</f>
        <v>39000</v>
      </c>
      <c r="I112" s="1" t="str" cm="1">
        <f t="array" ref="I112">VLOOKUP(INDEX('[1]Основной сток'!H:H,ROW()-3),[1]Фотки!A:B,2,FALSE)</f>
        <v>https://i.ibb.co/HT4Myg9w/1.jpg|https://i.ibb.co/rKpgY6hV/2.jpg|https://i.ibb.co/nsHj6w7M/3.jpg|https://i.ibb.co/PZjvdqyB/4.jpg</v>
      </c>
      <c r="J112" t="s">
        <v>36</v>
      </c>
      <c r="K112" t="s">
        <v>37</v>
      </c>
      <c r="L112" t="str">
        <f t="shared" si="2"/>
        <v>Женская обувь</v>
      </c>
      <c r="M112" t="s">
        <v>38</v>
      </c>
      <c r="N112" t="s">
        <v>39</v>
      </c>
      <c r="O112" t="str">
        <f>PROPER('[1]Основной сток'!F109)</f>
        <v>Adidas</v>
      </c>
      <c r="P112" t="str">
        <f>'[1]Основной сток'!M109</f>
        <v>Голубой</v>
      </c>
      <c r="R112" t="s">
        <v>41</v>
      </c>
      <c r="S112" t="s">
        <v>42</v>
      </c>
      <c r="T112" t="str">
        <f t="shared" si="3"/>
        <v>Кроссовки и кеды</v>
      </c>
      <c r="U112">
        <f>'[1]Основной сток'!J109 - 1</f>
        <v>36</v>
      </c>
      <c r="V112" t="s">
        <v>43</v>
      </c>
      <c r="X112" t="s">
        <v>44</v>
      </c>
      <c r="Y112" t="s">
        <v>45</v>
      </c>
    </row>
    <row r="113" spans="1:25" x14ac:dyDescent="0.15">
      <c r="A113" s="6">
        <f>'[1]Основной сток'!A110</f>
        <v>1603315</v>
      </c>
      <c r="B113" t="s">
        <v>33</v>
      </c>
      <c r="D113" t="s">
        <v>34</v>
      </c>
      <c r="E113" t="s">
        <v>35</v>
      </c>
      <c r="F113" s="7" t="str">
        <f>PROPER(LEFT('[1]Основной сток'!I110,FIND(CHAR(10),'[1]Основной сток'!I110&amp;CHAR(10))-1))</f>
        <v>Adidas Samba Og Black White Gum</v>
      </c>
      <c r="G113" t="str">
        <f>F113 &amp; ", " &amp; '[1]Основной сток'!H110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сток'!J110 &amp; " / RU " &amp;
INDEX('[1]Размерная сетка'!$B$2:$B$40,MATCH('[1]Основной сток'!J110,'[1]Размерная сетка'!$A$2:$A$40,0)) &amp; " / US " &amp;
INDEX('[1]Размерная сетка'!$C$2:$C$40,MATCH('[1]Основной сток'!J110,'[1]Размерная сетка'!$A$2:$A$40,0)) &amp; " / см " &amp;
INDEX('[1]Размерная сетка'!$D$2:$D$40,MATCH('[1]Основной сток'!J110,'[1]Размерная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Og Black White Gum, B75807
• В наличии в Москве
• Оригинал, можно проверить при получении
• Совершенно новые, полный комплект
• Размер: EU 40,5 / RU 39,5 / US 9 / см 25,3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13" s="8">
        <f>'[1]Основной сток'!L110</f>
        <v>19000</v>
      </c>
      <c r="I113" s="1" t="str" cm="1">
        <f t="array" ref="I113">VLOOKUP(INDEX('[1]Основной сток'!H:H,ROW()-3),[1]Фотки!A:B,2,FALSE)</f>
        <v>https://i.ibb.co/qY1xbpcL/1-1.jpg|https://i.ibb.co/TxfmcdKD/2.jpg|https://i.ibb.co/yB5xNb2H/3.jpg|https://i.ibb.co/607GRjCB/4.jpg</v>
      </c>
      <c r="J113" t="s">
        <v>36</v>
      </c>
      <c r="K113" t="s">
        <v>37</v>
      </c>
      <c r="L113" t="str">
        <f t="shared" si="2"/>
        <v>Женская обувь</v>
      </c>
      <c r="M113" t="s">
        <v>38</v>
      </c>
      <c r="N113" t="s">
        <v>39</v>
      </c>
      <c r="O113" t="str">
        <f>PROPER('[1]Основной сток'!F110)</f>
        <v>Adidas</v>
      </c>
      <c r="P113" t="str">
        <f>'[1]Основной сток'!M110</f>
        <v>Черный</v>
      </c>
      <c r="R113" t="s">
        <v>41</v>
      </c>
      <c r="S113" t="s">
        <v>42</v>
      </c>
      <c r="T113" t="str">
        <f t="shared" si="3"/>
        <v>Кроссовки и кеды</v>
      </c>
      <c r="U113">
        <f>'[1]Основной сток'!J110 - 1</f>
        <v>39.5</v>
      </c>
      <c r="V113" t="s">
        <v>43</v>
      </c>
      <c r="X113" t="s">
        <v>44</v>
      </c>
      <c r="Y113" t="s">
        <v>45</v>
      </c>
    </row>
    <row r="114" spans="1:25" x14ac:dyDescent="0.15">
      <c r="A114" s="6">
        <f>'[1]Основной сток'!A111</f>
        <v>1603316</v>
      </c>
      <c r="B114" t="s">
        <v>33</v>
      </c>
      <c r="D114" t="s">
        <v>34</v>
      </c>
      <c r="E114" t="s">
        <v>35</v>
      </c>
      <c r="F114" s="7" t="str">
        <f>PROPER(LEFT('[1]Основной сток'!I111,FIND(CHAR(10),'[1]Основной сток'!I111&amp;CHAR(10))-1))</f>
        <v>Adidas Samba Og Sporty &amp; Rich Blue Grey</v>
      </c>
      <c r="G114" t="str">
        <f>F114 &amp; ", " &amp; '[1]Основной сток'!H111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сток'!J111 &amp; " / RU " &amp;
INDEX('[1]Размерная сетка'!$B$2:$B$40,MATCH('[1]Основной сток'!J111,'[1]Размерная сетка'!$A$2:$A$40,0)) &amp; " / US " &amp;
INDEX('[1]Размерная сетка'!$C$2:$C$40,MATCH('[1]Основной сток'!J111,'[1]Размерная сетка'!$A$2:$A$40,0)) &amp; " / см " &amp;
INDEX('[1]Размерная сетка'!$D$2:$D$40,MATCH('[1]Основной сток'!J111,'[1]Размерная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Og Sporty &amp; Rich Blue Grey, IE6975
• В наличии в Москве
• Оригинал, можно проверить при получении
• Совершенно новые, полный комплект
• Размер: EU 36,5 / RU 35,5 / US 6 / см 22,7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14" s="8">
        <f>'[1]Основной сток'!L111</f>
        <v>39000</v>
      </c>
      <c r="I114" s="1" t="str" cm="1">
        <f t="array" ref="I114">VLOOKUP(INDEX('[1]Основной сток'!H:H,ROW()-3),[1]Фотки!A:B,2,FALSE)</f>
        <v>https://i.ibb.co/HT4Myg9w/1.jpg|https://i.ibb.co/rKpgY6hV/2.jpg|https://i.ibb.co/nsHj6w7M/3.jpg|https://i.ibb.co/PZjvdqyB/4.jpg</v>
      </c>
      <c r="J114" t="s">
        <v>36</v>
      </c>
      <c r="K114" t="s">
        <v>37</v>
      </c>
      <c r="L114" t="str">
        <f t="shared" si="2"/>
        <v>Женская обувь</v>
      </c>
      <c r="M114" t="s">
        <v>38</v>
      </c>
      <c r="N114" t="s">
        <v>39</v>
      </c>
      <c r="O114" t="str">
        <f>PROPER('[1]Основной сток'!F111)</f>
        <v>Adidas</v>
      </c>
      <c r="P114" t="str">
        <f>'[1]Основной сток'!M111</f>
        <v>Голубой</v>
      </c>
      <c r="R114" t="s">
        <v>41</v>
      </c>
      <c r="S114" t="s">
        <v>42</v>
      </c>
      <c r="T114" t="str">
        <f t="shared" si="3"/>
        <v>Кроссовки и кеды</v>
      </c>
      <c r="U114">
        <f>'[1]Основной сток'!J111 - 1</f>
        <v>35.5</v>
      </c>
      <c r="V114" t="s">
        <v>43</v>
      </c>
      <c r="X114" t="s">
        <v>44</v>
      </c>
      <c r="Y114" t="s">
        <v>45</v>
      </c>
    </row>
    <row r="115" spans="1:25" x14ac:dyDescent="0.15">
      <c r="A115" s="6">
        <f>'[1]Основной сток'!A112</f>
        <v>1618842</v>
      </c>
      <c r="B115" t="s">
        <v>33</v>
      </c>
      <c r="D115" t="s">
        <v>34</v>
      </c>
      <c r="E115" t="s">
        <v>35</v>
      </c>
      <c r="F115" s="7" t="str">
        <f>PROPER(LEFT('[1]Основной сток'!I112,FIND(CHAR(10),'[1]Основной сток'!I112&amp;CHAR(10))-1))</f>
        <v>Adidas Gazelle Bold «Pink»</v>
      </c>
      <c r="G115" t="str">
        <f>F115 &amp; ", " &amp; '[1]Основной сток'!H112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сток'!J112 &amp; " / RU " &amp;
INDEX('[1]Размерная сетка'!$B$2:$B$40,MATCH('[1]Основной сток'!J112,'[1]Размерная сетка'!$A$2:$A$40,0)) &amp; " / US " &amp;
INDEX('[1]Размерная сетка'!$C$2:$C$40,MATCH('[1]Основной сток'!J112,'[1]Размерная сетка'!$A$2:$A$40,0)) &amp; " / см " &amp;
INDEX('[1]Размерная сетка'!$D$2:$D$40,MATCH('[1]Основной сток'!J112,'[1]Размерная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Bold «Pink», H06122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15" s="8">
        <f>'[1]Основной сток'!L112</f>
        <v>25000</v>
      </c>
      <c r="I115" s="1" t="str" cm="1">
        <f t="array" ref="I115">VLOOKUP(INDEX('[1]Основной сток'!H:H,ROW()-3),[1]Фотки!A:B,2,FALSE)</f>
        <v>https://i.ibb.co/7dNfKCTr/1.jpg|https://i.ibb.co/twYSjznp/2.jpg|https://i.ibb.co/sv7jYgSk/3.jpg|https://i.ibb.co/HWthNgn/4.jpg</v>
      </c>
      <c r="J115" t="s">
        <v>36</v>
      </c>
      <c r="K115" t="s">
        <v>37</v>
      </c>
      <c r="L115" t="str">
        <f t="shared" si="2"/>
        <v>Женская обувь</v>
      </c>
      <c r="M115" t="s">
        <v>38</v>
      </c>
      <c r="N115" t="s">
        <v>39</v>
      </c>
      <c r="O115" t="str">
        <f>PROPER('[1]Основной сток'!F112)</f>
        <v>Adidas</v>
      </c>
      <c r="P115" t="str">
        <f>'[1]Основной сток'!M112</f>
        <v>Розовый</v>
      </c>
      <c r="R115" t="s">
        <v>41</v>
      </c>
      <c r="S115" t="s">
        <v>42</v>
      </c>
      <c r="T115" t="str">
        <f t="shared" si="3"/>
        <v>Кроссовки и кеды</v>
      </c>
      <c r="U115">
        <f>'[1]Основной сток'!J112 - 1</f>
        <v>37</v>
      </c>
      <c r="V115" t="s">
        <v>43</v>
      </c>
      <c r="X115" t="s">
        <v>44</v>
      </c>
      <c r="Y115" t="s">
        <v>45</v>
      </c>
    </row>
    <row r="116" spans="1:25" x14ac:dyDescent="0.15">
      <c r="A116" s="6">
        <f>'[1]Основной сток'!A113</f>
        <v>1620532</v>
      </c>
      <c r="B116" t="s">
        <v>33</v>
      </c>
      <c r="D116" t="s">
        <v>34</v>
      </c>
      <c r="E116" t="s">
        <v>35</v>
      </c>
      <c r="F116" s="7" t="str">
        <f>PROPER(LEFT('[1]Основной сток'!I113,FIND(CHAR(10),'[1]Основной сток'!I113&amp;CHAR(10))-1))</f>
        <v>New Balance 1906R Silver</v>
      </c>
      <c r="G116" t="str">
        <f>F116 &amp; ", " &amp; '[1]Основной сток'!H113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сток'!J113 &amp; " / RU " &amp;
INDEX('[1]Размерная сетка'!$B$2:$B$40,MATCH('[1]Основной сток'!J113,'[1]Размерная сетка'!$A$2:$A$40,0)) &amp; " / US " &amp;
INDEX('[1]Размерная сетка'!$C$2:$C$40,MATCH('[1]Основной сток'!J113,'[1]Размерная сетка'!$A$2:$A$40,0)) &amp; " / см " &amp;
INDEX('[1]Размерная сетка'!$D$2:$D$40,MATCH('[1]Основной сток'!J113,'[1]Размерная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1906R Silver, M1906RCB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16" s="8">
        <f>'[1]Основной сток'!L113</f>
        <v>20000</v>
      </c>
      <c r="I116" s="1" t="str" cm="1">
        <f t="array" ref="I116">VLOOKUP(INDEX('[1]Основной сток'!H:H,ROW()-3),[1]Фотки!A:B,2,FALSE)</f>
        <v>https://i.ibb.co/tTKxCdsH/1-1.jpg|https://i.ibb.co/5gZHq1Mm/2.jpg|https://i.ibb.co/3y0hgRCL/3.jpg|https://i.ibb.co/mC3jkdqX/4.jpg</v>
      </c>
      <c r="J116" t="s">
        <v>36</v>
      </c>
      <c r="K116" t="s">
        <v>37</v>
      </c>
      <c r="L116" t="str">
        <f t="shared" si="2"/>
        <v>Женская обувь</v>
      </c>
      <c r="M116" t="s">
        <v>38</v>
      </c>
      <c r="N116" t="s">
        <v>39</v>
      </c>
      <c r="O116" t="str">
        <f>PROPER('[1]Основной сток'!F113)</f>
        <v>New Balance</v>
      </c>
      <c r="P116" t="str">
        <f>'[1]Основной сток'!M113</f>
        <v>Серый</v>
      </c>
      <c r="R116" t="s">
        <v>41</v>
      </c>
      <c r="S116" t="s">
        <v>42</v>
      </c>
      <c r="T116" t="str">
        <f t="shared" si="3"/>
        <v>Кроссовки и кеды</v>
      </c>
      <c r="U116">
        <f>'[1]Основной сток'!J113 - 1</f>
        <v>37</v>
      </c>
      <c r="V116" t="s">
        <v>43</v>
      </c>
      <c r="X116" t="s">
        <v>44</v>
      </c>
      <c r="Y116" t="s">
        <v>45</v>
      </c>
    </row>
    <row r="117" spans="1:25" x14ac:dyDescent="0.15">
      <c r="A117" s="6">
        <f>'[1]Основной сток'!A114</f>
        <v>1620541</v>
      </c>
      <c r="B117" t="s">
        <v>33</v>
      </c>
      <c r="D117" t="s">
        <v>34</v>
      </c>
      <c r="E117" t="s">
        <v>35</v>
      </c>
      <c r="F117" s="7" t="str">
        <f>PROPER(LEFT('[1]Основной сток'!I114,FIND(CHAR(10),'[1]Основной сток'!I114&amp;CHAR(10))-1))</f>
        <v>Nike Dunk Low “Grey Fog”</v>
      </c>
      <c r="G117" t="str">
        <f>F117 &amp; ", " &amp; '[1]Основной сток'!H114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сток'!J114 &amp; " / RU " &amp;
INDEX('[1]Размерная сетка'!$B$2:$B$40,MATCH('[1]Основной сток'!J114,'[1]Размерная сетка'!$A$2:$A$40,0)) &amp; " / US " &amp;
INDEX('[1]Размерная сетка'!$C$2:$C$40,MATCH('[1]Основной сток'!J114,'[1]Размерная сетка'!$A$2:$A$40,0)) &amp; " / см " &amp;
INDEX('[1]Размерная сетка'!$D$2:$D$40,MATCH('[1]Основной сток'!J114,'[1]Размерная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“Grey Fog”, DD1391-103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17" s="8">
        <f>'[1]Основной сток'!L114</f>
        <v>15000</v>
      </c>
      <c r="I117" s="1" t="str" cm="1">
        <f t="array" ref="I117">VLOOKUP(INDEX('[1]Основной сток'!H:H,ROW()-3),[1]Фотки!A:B,2,FALSE)</f>
        <v>https://i.ibb.co/23GCmXmr/1-1.jpg|https://i.ibb.co/RTnf4VjD/2.jpg|https://i.ibb.co/Z66hN3X9/3.jpg|https://i.ibb.co/r2BfGSsm/4.jpg</v>
      </c>
      <c r="J117" t="s">
        <v>36</v>
      </c>
      <c r="K117" t="s">
        <v>37</v>
      </c>
      <c r="L117" t="str">
        <f t="shared" si="2"/>
        <v>Женская обувь</v>
      </c>
      <c r="M117" t="s">
        <v>38</v>
      </c>
      <c r="N117" t="s">
        <v>39</v>
      </c>
      <c r="O117" t="str">
        <f>PROPER('[1]Основной сток'!F114)</f>
        <v>Nike</v>
      </c>
      <c r="P117" t="str">
        <f>'[1]Основной сток'!M114</f>
        <v>Серый</v>
      </c>
      <c r="R117" t="s">
        <v>41</v>
      </c>
      <c r="S117" t="s">
        <v>42</v>
      </c>
      <c r="T117" t="str">
        <f t="shared" si="3"/>
        <v>Кроссовки и кеды</v>
      </c>
      <c r="U117">
        <f>'[1]Основной сток'!J114 - 1</f>
        <v>39</v>
      </c>
      <c r="V117" t="s">
        <v>43</v>
      </c>
      <c r="X117" t="s">
        <v>44</v>
      </c>
      <c r="Y117" t="s">
        <v>45</v>
      </c>
    </row>
    <row r="118" spans="1:25" x14ac:dyDescent="0.15">
      <c r="A118" s="6">
        <f>'[1]Основной сток'!A115</f>
        <v>1620544</v>
      </c>
      <c r="B118" t="s">
        <v>33</v>
      </c>
      <c r="D118" t="s">
        <v>34</v>
      </c>
      <c r="E118" t="s">
        <v>35</v>
      </c>
      <c r="F118" s="7" t="str">
        <f>PROPER(LEFT('[1]Основной сток'!I115,FIND(CHAR(10),'[1]Основной сток'!I115&amp;CHAR(10))-1))</f>
        <v>Nike Dunk Low “Grey Fog”</v>
      </c>
      <c r="G118" t="str">
        <f>F118 &amp; ", " &amp; '[1]Основной сток'!H115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сток'!J115 &amp; " / RU " &amp;
INDEX('[1]Размерная сетка'!$B$2:$B$40,MATCH('[1]Основной сток'!J115,'[1]Размерная сетка'!$A$2:$A$40,0)) &amp; " / US " &amp;
INDEX('[1]Размерная сетка'!$C$2:$C$40,MATCH('[1]Основной сток'!J115,'[1]Размерная сетка'!$A$2:$A$40,0)) &amp; " / см " &amp;
INDEX('[1]Размерная сетка'!$D$2:$D$40,MATCH('[1]Основной сток'!J115,'[1]Размерная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“Grey Fog”, DD1391-103
• В наличии в Москве
• Оригинал, можно проверить при получении
• Совершенно новые, полный комплект
• Размер: EU 46 / RU 45 / US 12 / см 29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18" s="8">
        <f>'[1]Основной сток'!L115</f>
        <v>15000</v>
      </c>
      <c r="I118" s="1" t="str" cm="1">
        <f t="array" ref="I118">VLOOKUP(INDEX('[1]Основной сток'!H:H,ROW()-3),[1]Фотки!A:B,2,FALSE)</f>
        <v>https://i.ibb.co/23GCmXmr/1-1.jpg|https://i.ibb.co/RTnf4VjD/2.jpg|https://i.ibb.co/Z66hN3X9/3.jpg|https://i.ibb.co/r2BfGSsm/4.jpg</v>
      </c>
      <c r="J118" t="s">
        <v>36</v>
      </c>
      <c r="K118" t="s">
        <v>37</v>
      </c>
      <c r="L118" t="str">
        <f t="shared" si="2"/>
        <v>Мужская обувь</v>
      </c>
      <c r="M118" t="s">
        <v>38</v>
      </c>
      <c r="N118" t="s">
        <v>39</v>
      </c>
      <c r="O118" t="str">
        <f>PROPER('[1]Основной сток'!F115)</f>
        <v>Nike</v>
      </c>
      <c r="P118" t="str">
        <f>'[1]Основной сток'!M115</f>
        <v>Серый</v>
      </c>
      <c r="R118" t="s">
        <v>41</v>
      </c>
      <c r="S118" t="s">
        <v>42</v>
      </c>
      <c r="T118" t="str">
        <f t="shared" si="3"/>
        <v>Кроссовки</v>
      </c>
      <c r="U118">
        <f>'[1]Основной сток'!J115 - 1</f>
        <v>45</v>
      </c>
      <c r="V118" t="s">
        <v>43</v>
      </c>
      <c r="X118" t="s">
        <v>44</v>
      </c>
      <c r="Y118" t="s">
        <v>45</v>
      </c>
    </row>
    <row r="119" spans="1:25" x14ac:dyDescent="0.15">
      <c r="A119" s="6">
        <f>'[1]Основной сток'!A116</f>
        <v>1620546</v>
      </c>
      <c r="B119" t="s">
        <v>33</v>
      </c>
      <c r="D119" t="s">
        <v>34</v>
      </c>
      <c r="E119" t="s">
        <v>35</v>
      </c>
      <c r="F119" s="7" t="str">
        <f>PROPER(LEFT('[1]Основной сток'!I116,FIND(CHAR(10),'[1]Основной сток'!I116&amp;CHAR(10))-1))</f>
        <v>Air Jordan 1 Low Se “Concord” (Gs)</v>
      </c>
      <c r="G119" t="str">
        <f>F119 &amp; ", " &amp; '[1]Основной сток'!H116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сток'!J116 &amp; " / RU " &amp;
INDEX('[1]Размерная сетка'!$B$2:$B$40,MATCH('[1]Основной сток'!J116,'[1]Размерная сетка'!$A$2:$A$40,0)) &amp; " / US " &amp;
INDEX('[1]Размерная сетка'!$C$2:$C$40,MATCH('[1]Основной сток'!J116,'[1]Размерная сетка'!$A$2:$A$40,0)) &amp; " / см " &amp;
INDEX('[1]Размерная сетка'!$D$2:$D$40,MATCH('[1]Основной сток'!J116,'[1]Размерная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Low Se “Concord” (Gs), DV1333-100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19" s="8">
        <f>'[1]Основной сток'!L116</f>
        <v>22000</v>
      </c>
      <c r="I119" s="1" t="str" cm="1">
        <f t="array" ref="I119">VLOOKUP(INDEX('[1]Основной сток'!H:H,ROW()-3),[1]Фотки!A:B,2,FALSE)</f>
        <v>https://i.ibb.co/JjsHCgZ2/1.jpg</v>
      </c>
      <c r="J119" t="s">
        <v>36</v>
      </c>
      <c r="K119" t="s">
        <v>37</v>
      </c>
      <c r="L119" t="str">
        <f t="shared" si="2"/>
        <v>Женская обувь</v>
      </c>
      <c r="M119" t="s">
        <v>38</v>
      </c>
      <c r="N119" t="s">
        <v>39</v>
      </c>
      <c r="O119" t="str">
        <f>PROPER('[1]Основной сток'!F116)</f>
        <v>Jordan</v>
      </c>
      <c r="P119" t="str">
        <f>'[1]Основной сток'!M116</f>
        <v>Черный</v>
      </c>
      <c r="R119" t="s">
        <v>41</v>
      </c>
      <c r="S119" t="s">
        <v>42</v>
      </c>
      <c r="T119" t="str">
        <f t="shared" si="3"/>
        <v>Кроссовки и кеды</v>
      </c>
      <c r="U119">
        <f>'[1]Основной сток'!J116 - 1</f>
        <v>37.5</v>
      </c>
      <c r="V119" t="s">
        <v>43</v>
      </c>
      <c r="X119" t="s">
        <v>44</v>
      </c>
      <c r="Y119" t="s">
        <v>45</v>
      </c>
    </row>
    <row r="120" spans="1:25" x14ac:dyDescent="0.15">
      <c r="A120" s="6">
        <f>'[1]Основной сток'!A117</f>
        <v>1620804</v>
      </c>
      <c r="B120" t="s">
        <v>33</v>
      </c>
      <c r="D120" t="s">
        <v>34</v>
      </c>
      <c r="E120" t="s">
        <v>35</v>
      </c>
      <c r="F120" s="7" t="str">
        <f>PROPER(LEFT('[1]Основной сток'!I117,FIND(CHAR(10),'[1]Основной сток'!I117&amp;CHAR(10))-1))</f>
        <v>New Balance 2002R Refined Future Grey</v>
      </c>
      <c r="G120" t="str">
        <f>F120 &amp; ", " &amp; '[1]Основной сток'!H117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сток'!J117 &amp; " / RU " &amp;
INDEX('[1]Размерная сетка'!$B$2:$B$40,MATCH('[1]Основной сток'!J117,'[1]Размерная сетка'!$A$2:$A$40,0)) &amp; " / US " &amp;
INDEX('[1]Размерная сетка'!$C$2:$C$40,MATCH('[1]Основной сток'!J117,'[1]Размерная сетка'!$A$2:$A$40,0)) &amp; " / см " &amp;
INDEX('[1]Размерная сетка'!$D$2:$D$40,MATCH('[1]Основной сток'!J117,'[1]Размерная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2002R Refined Future Grey, M2002RDA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20" s="8">
        <f>'[1]Основной сток'!L117</f>
        <v>32000</v>
      </c>
      <c r="I120" s="1" t="str" cm="1">
        <f t="array" ref="I120">VLOOKUP(INDEX('[1]Основной сток'!H:H,ROW()-3),[1]Фотки!A:B,2,FALSE)</f>
        <v>https://i.ibb.co/W4LW153B/1-1.jpg|https://i.ibb.co/DDNWzNRz/2.jpg|https://i.ibb.co/M5M1JS10/3.jpg|https://i.ibb.co/LdY7tVBV/4.jpg</v>
      </c>
      <c r="J120" t="s">
        <v>36</v>
      </c>
      <c r="K120" t="s">
        <v>37</v>
      </c>
      <c r="L120" t="str">
        <f t="shared" si="2"/>
        <v>Женская обувь</v>
      </c>
      <c r="M120" t="s">
        <v>38</v>
      </c>
      <c r="N120" t="s">
        <v>39</v>
      </c>
      <c r="O120" t="str">
        <f>PROPER('[1]Основной сток'!F117)</f>
        <v>New Balance</v>
      </c>
      <c r="P120" t="str">
        <f>'[1]Основной сток'!M117</f>
        <v>Серый</v>
      </c>
      <c r="R120" t="s">
        <v>41</v>
      </c>
      <c r="S120" t="s">
        <v>42</v>
      </c>
      <c r="T120" t="str">
        <f t="shared" si="3"/>
        <v>Кроссовки и кеды</v>
      </c>
      <c r="U120">
        <f>'[1]Основной сток'!J117 - 1</f>
        <v>37</v>
      </c>
      <c r="V120" t="s">
        <v>43</v>
      </c>
      <c r="X120" t="s">
        <v>44</v>
      </c>
      <c r="Y120" t="s">
        <v>45</v>
      </c>
    </row>
    <row r="121" spans="1:25" x14ac:dyDescent="0.15">
      <c r="A121" s="6">
        <f>'[1]Основной сток'!A118</f>
        <v>1663147</v>
      </c>
      <c r="B121" t="s">
        <v>33</v>
      </c>
      <c r="D121" t="s">
        <v>34</v>
      </c>
      <c r="E121" t="s">
        <v>35</v>
      </c>
      <c r="F121" s="7" t="str">
        <f>PROPER(LEFT('[1]Основной сток'!I118,FIND(CHAR(10),'[1]Основной сток'!I118&amp;CHAR(10))-1))</f>
        <v>Air Jordan 1 Mid Se Pastel Vivid Green Grind (Gs)</v>
      </c>
      <c r="G121" t="str">
        <f>F121 &amp; ", " &amp; '[1]Основной сток'!H118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сток'!J118 &amp; " / RU " &amp;
INDEX('[1]Размерная сетка'!$B$2:$B$40,MATCH('[1]Основной сток'!J118,'[1]Размерная сетка'!$A$2:$A$40,0)) &amp; " / US " &amp;
INDEX('[1]Размерная сетка'!$C$2:$C$40,MATCH('[1]Основной сток'!J118,'[1]Размерная сетка'!$A$2:$A$40,0)) &amp; " / см " &amp;
INDEX('[1]Размерная сетка'!$D$2:$D$40,MATCH('[1]Основной сток'!J118,'[1]Размерная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Mid Se Pastel Vivid Green Grind (Gs), DJ0338-100
• В наличии в Москве
• Оригинал, можно проверить при получении
• Совершенно новые, полный комплект
• Размер: EU 36 / RU 35 / US 5,5 / см 22,5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21" s="8">
        <f>'[1]Основной сток'!L118</f>
        <v>12000</v>
      </c>
      <c r="I121" s="1" t="str" cm="1">
        <f t="array" ref="I121">VLOOKUP(INDEX('[1]Основной сток'!H:H,ROW()-3),[1]Фотки!A:B,2,FALSE)</f>
        <v>https://i.ibb.co/hJG5jSpy/1-1.jpg</v>
      </c>
      <c r="J121" t="s">
        <v>36</v>
      </c>
      <c r="K121" t="s">
        <v>37</v>
      </c>
      <c r="L121" t="str">
        <f t="shared" si="2"/>
        <v>Женская обувь</v>
      </c>
      <c r="M121" t="s">
        <v>38</v>
      </c>
      <c r="N121" t="s">
        <v>39</v>
      </c>
      <c r="O121" t="str">
        <f>PROPER('[1]Основной сток'!F118)</f>
        <v>Jordan</v>
      </c>
      <c r="P121" t="str">
        <f>'[1]Основной сток'!M118</f>
        <v>Белый</v>
      </c>
      <c r="R121" t="s">
        <v>41</v>
      </c>
      <c r="S121" t="s">
        <v>42</v>
      </c>
      <c r="T121" t="str">
        <f t="shared" si="3"/>
        <v>Кроссовки и кеды</v>
      </c>
      <c r="U121">
        <f>'[1]Основной сток'!J118 - 1</f>
        <v>35</v>
      </c>
      <c r="V121" t="s">
        <v>43</v>
      </c>
      <c r="X121" t="s">
        <v>44</v>
      </c>
      <c r="Y121" t="s">
        <v>45</v>
      </c>
    </row>
    <row r="122" spans="1:25" x14ac:dyDescent="0.15">
      <c r="A122" s="6">
        <f>'[1]Основной сток'!A119</f>
        <v>1671292</v>
      </c>
      <c r="B122" t="s">
        <v>33</v>
      </c>
      <c r="D122" t="s">
        <v>34</v>
      </c>
      <c r="E122" t="s">
        <v>35</v>
      </c>
      <c r="F122" s="7" t="str">
        <f>PROPER(LEFT('[1]Основной сток'!I119,FIND(CHAR(10),'[1]Основной сток'!I119&amp;CHAR(10))-1))</f>
        <v>Notitle X Samba Og 'Pink'</v>
      </c>
      <c r="G122" t="str">
        <f>F122 &amp; ", " &amp; '[1]Основной сток'!H119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сток'!J119 &amp; " / RU " &amp;
INDEX('[1]Размерная сетка'!$B$2:$B$40,MATCH('[1]Основной сток'!J119,'[1]Размерная сетка'!$A$2:$A$40,0)) &amp; " / US " &amp;
INDEX('[1]Размерная сетка'!$C$2:$C$40,MATCH('[1]Основной сток'!J119,'[1]Размерная сетка'!$A$2:$A$40,0)) &amp; " / см " &amp;
INDEX('[1]Размерная сетка'!$D$2:$D$40,MATCH('[1]Основной сток'!J119,'[1]Размерная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Notitle X Samba Og 'Pink', IG4198
• В наличии в Москве
• Оригинал, можно проверить при получении
• Совершенно новые, полный комплект
• Размер: EU 37 / RU 36 / US 6,5 / см 23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22" s="8">
        <f>'[1]Основной сток'!L119</f>
        <v>35000</v>
      </c>
      <c r="I122" s="1" t="str" cm="1">
        <f t="array" ref="I122">VLOOKUP(INDEX('[1]Основной сток'!H:H,ROW()-3),[1]Фотки!A:B,2,FALSE)</f>
        <v>https://i.ibb.co/tM7PbLd1/1.jpg|https://i.ibb.co/XfQwwHsr/2.jpg|https://i.ibb.co/gMF9dq2V/3.jpg|https://i.ibb.co/NgBTMVGT/4.jpg</v>
      </c>
      <c r="J122" t="s">
        <v>36</v>
      </c>
      <c r="K122" t="s">
        <v>37</v>
      </c>
      <c r="L122" t="str">
        <f t="shared" si="2"/>
        <v>Женская обувь</v>
      </c>
      <c r="M122" t="s">
        <v>38</v>
      </c>
      <c r="N122" t="s">
        <v>39</v>
      </c>
      <c r="O122" t="str">
        <f>PROPER('[1]Основной сток'!F119)</f>
        <v>Adidas</v>
      </c>
      <c r="P122" t="str">
        <f>'[1]Основной сток'!M119</f>
        <v>Розовый</v>
      </c>
      <c r="R122" t="s">
        <v>41</v>
      </c>
      <c r="S122" t="s">
        <v>42</v>
      </c>
      <c r="T122" t="str">
        <f t="shared" si="3"/>
        <v>Кроссовки и кеды</v>
      </c>
      <c r="U122">
        <f>'[1]Основной сток'!J119 - 1</f>
        <v>36</v>
      </c>
      <c r="V122" t="s">
        <v>43</v>
      </c>
      <c r="X122" t="s">
        <v>44</v>
      </c>
      <c r="Y122" t="s">
        <v>45</v>
      </c>
    </row>
    <row r="123" spans="1:25" x14ac:dyDescent="0.15">
      <c r="A123" s="6">
        <f>'[1]Основной сток'!A120</f>
        <v>1671293</v>
      </c>
      <c r="B123" t="s">
        <v>33</v>
      </c>
      <c r="D123" t="s">
        <v>34</v>
      </c>
      <c r="E123" t="s">
        <v>35</v>
      </c>
      <c r="F123" s="7" t="str">
        <f>PROPER(LEFT('[1]Основной сток'!I120,FIND(CHAR(10),'[1]Основной сток'!I120&amp;CHAR(10))-1))</f>
        <v>Notitle X Samba Og 'Pink'</v>
      </c>
      <c r="G123" t="str">
        <f>F123 &amp; ", " &amp; '[1]Основной сток'!H120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сток'!J120 &amp; " / RU " &amp;
INDEX('[1]Размерная сетка'!$B$2:$B$40,MATCH('[1]Основной сток'!J120,'[1]Размерная сетка'!$A$2:$A$40,0)) &amp; " / US " &amp;
INDEX('[1]Размерная сетка'!$C$2:$C$40,MATCH('[1]Основной сток'!J120,'[1]Размерная сетка'!$A$2:$A$40,0)) &amp; " / см " &amp;
INDEX('[1]Размерная сетка'!$D$2:$D$40,MATCH('[1]Основной сток'!J120,'[1]Размерная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Notitle X Samba Og 'Pink', IG4198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23" s="8">
        <f>'[1]Основной сток'!L120</f>
        <v>35000</v>
      </c>
      <c r="I123" s="1" t="str" cm="1">
        <f t="array" ref="I123">VLOOKUP(INDEX('[1]Основной сток'!H:H,ROW()-3),[1]Фотки!A:B,2,FALSE)</f>
        <v>https://i.ibb.co/tM7PbLd1/1.jpg|https://i.ibb.co/XfQwwHsr/2.jpg|https://i.ibb.co/gMF9dq2V/3.jpg|https://i.ibb.co/NgBTMVGT/4.jpg</v>
      </c>
      <c r="J123" t="s">
        <v>36</v>
      </c>
      <c r="K123" t="s">
        <v>37</v>
      </c>
      <c r="L123" t="str">
        <f t="shared" si="2"/>
        <v>Женская обувь</v>
      </c>
      <c r="M123" t="s">
        <v>38</v>
      </c>
      <c r="N123" t="s">
        <v>39</v>
      </c>
      <c r="O123" t="str">
        <f>PROPER('[1]Основной сток'!F120)</f>
        <v>Adidas</v>
      </c>
      <c r="P123" t="str">
        <f>'[1]Основной сток'!M120</f>
        <v>Розовый</v>
      </c>
      <c r="R123" t="s">
        <v>41</v>
      </c>
      <c r="S123" t="s">
        <v>42</v>
      </c>
      <c r="T123" t="str">
        <f t="shared" si="3"/>
        <v>Кроссовки и кеды</v>
      </c>
      <c r="U123">
        <f>'[1]Основной сток'!J120 - 1</f>
        <v>37</v>
      </c>
      <c r="V123" t="s">
        <v>43</v>
      </c>
      <c r="X123" t="s">
        <v>44</v>
      </c>
      <c r="Y123" t="s">
        <v>45</v>
      </c>
    </row>
    <row r="124" spans="1:25" x14ac:dyDescent="0.15">
      <c r="A124" s="6">
        <f>'[1]Основной сток'!A121</f>
        <v>1677934</v>
      </c>
      <c r="B124" t="s">
        <v>33</v>
      </c>
      <c r="D124" t="s">
        <v>34</v>
      </c>
      <c r="E124" t="s">
        <v>35</v>
      </c>
      <c r="F124" s="7" t="str">
        <f>PROPER(LEFT('[1]Основной сток'!I121,FIND(CHAR(10),'[1]Основной сток'!I121&amp;CHAR(10))-1))</f>
        <v>Nike Dunk Low «Brown And Sail»</v>
      </c>
      <c r="G124" t="str">
        <f>F124 &amp; ", " &amp; '[1]Основной сток'!H121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сток'!J121 &amp; " / RU " &amp;
INDEX('[1]Размерная сетка'!$B$2:$B$40,MATCH('[1]Основной сток'!J121,'[1]Размерная сетка'!$A$2:$A$40,0)) &amp; " / US " &amp;
INDEX('[1]Размерная сетка'!$C$2:$C$40,MATCH('[1]Основной сток'!J121,'[1]Размерная сетка'!$A$2:$A$40,0)) &amp; " / см " &amp;
INDEX('[1]Размерная сетка'!$D$2:$D$40,MATCH('[1]Основной сток'!J121,'[1]Размерная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«Brown And Sail», DD1503-124
• В наличии в Москве
• Оригинал, можно проверить при получении
• Совершенно новые, полный комплект
• Размер: EU 37,5 / RU 36,5 / US 6,5-7 / см 23,3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24" s="8">
        <f>'[1]Основной сток'!L121</f>
        <v>19000</v>
      </c>
      <c r="I124" s="1" t="str" cm="1">
        <f t="array" ref="I124">VLOOKUP(INDEX('[1]Основной сток'!H:H,ROW()-3),[1]Фотки!A:B,2,FALSE)</f>
        <v>https://i.ibb.co/8gq2wpYT/1-1.jpg|https://i.ibb.co/8gbB5K42/2.jpg|https://i.ibb.co/mV1rWYzD/3.jpg|https://i.ibb.co/3Y4gtdmc/4.jpg</v>
      </c>
      <c r="J124" t="s">
        <v>36</v>
      </c>
      <c r="K124" t="s">
        <v>37</v>
      </c>
      <c r="L124" t="str">
        <f t="shared" si="2"/>
        <v>Женская обувь</v>
      </c>
      <c r="M124" t="s">
        <v>38</v>
      </c>
      <c r="N124" t="s">
        <v>39</v>
      </c>
      <c r="O124" t="str">
        <f>PROPER('[1]Основной сток'!F121)</f>
        <v>Nike</v>
      </c>
      <c r="P124" t="str">
        <f>'[1]Основной сток'!M121</f>
        <v>Коричневый</v>
      </c>
      <c r="R124" t="s">
        <v>41</v>
      </c>
      <c r="S124" t="s">
        <v>42</v>
      </c>
      <c r="T124" t="str">
        <f t="shared" si="3"/>
        <v>Кроссовки и кеды</v>
      </c>
      <c r="U124">
        <f>'[1]Основной сток'!J121 - 1</f>
        <v>36.5</v>
      </c>
      <c r="V124" t="s">
        <v>43</v>
      </c>
      <c r="X124" t="s">
        <v>44</v>
      </c>
      <c r="Y124" t="s">
        <v>45</v>
      </c>
    </row>
    <row r="125" spans="1:25" x14ac:dyDescent="0.15">
      <c r="A125" s="6">
        <f>'[1]Основной сток'!A122</f>
        <v>1683296</v>
      </c>
      <c r="B125" t="s">
        <v>33</v>
      </c>
      <c r="D125" t="s">
        <v>34</v>
      </c>
      <c r="E125" t="s">
        <v>35</v>
      </c>
      <c r="F125" s="7" t="str">
        <f>PROPER(LEFT('[1]Основной сток'!I122,FIND(CHAR(10),'[1]Основной сток'!I122&amp;CHAR(10))-1))</f>
        <v xml:space="preserve">Jordan 1 Low Vintage Panda </v>
      </c>
      <c r="G125" t="str">
        <f>F125 &amp; ", " &amp; '[1]Основной сток'!H122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сток'!J122 &amp; " / RU " &amp;
INDEX('[1]Размерная сетка'!$B$2:$B$40,MATCH('[1]Основной сток'!J122,'[1]Размерная сетка'!$A$2:$A$40,0)) &amp; " / US " &amp;
INDEX('[1]Размерная сетка'!$C$2:$C$40,MATCH('[1]Основной сток'!J122,'[1]Размерная сетка'!$A$2:$A$40,0)) &amp; " / см " &amp;
INDEX('[1]Размерная сетка'!$D$2:$D$40,MATCH('[1]Основной сток'!J122,'[1]Размерная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Low Vintage Panda , FB9893-101
• В наличии в Москве
• Оригинал, можно проверить при получении
• Совершенно новые, полный комплект
• Размер: EU 37,5 / RU 36,5 / US 6,5-7 / см 23,3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25" s="8">
        <f>'[1]Основной сток'!L122</f>
        <v>17000</v>
      </c>
      <c r="I125" s="1" t="str" cm="1">
        <f t="array" ref="I125">VLOOKUP(INDEX('[1]Основной сток'!H:H,ROW()-3),[1]Фотки!A:B,2,FALSE)</f>
        <v>https://i.ibb.co/ZRx2D7hV/1.jpg|https://i.ibb.co/BJR3KdV/2.jpg|https://i.ibb.co/gLG99HZV/3.jpg|https://i.ibb.co/8LyYkBRF/4.jpg</v>
      </c>
      <c r="J125" t="s">
        <v>36</v>
      </c>
      <c r="K125" t="s">
        <v>37</v>
      </c>
      <c r="L125" t="str">
        <f t="shared" si="2"/>
        <v>Женская обувь</v>
      </c>
      <c r="M125" t="s">
        <v>38</v>
      </c>
      <c r="N125" t="s">
        <v>39</v>
      </c>
      <c r="O125" t="str">
        <f>PROPER('[1]Основной сток'!F122)</f>
        <v>Jordan</v>
      </c>
      <c r="P125" t="str">
        <f>'[1]Основной сток'!M122</f>
        <v>Черный</v>
      </c>
      <c r="R125" t="s">
        <v>41</v>
      </c>
      <c r="S125" t="s">
        <v>42</v>
      </c>
      <c r="T125" t="str">
        <f t="shared" si="3"/>
        <v>Кроссовки и кеды</v>
      </c>
      <c r="U125">
        <f>'[1]Основной сток'!J122 - 1</f>
        <v>36.5</v>
      </c>
      <c r="V125" t="s">
        <v>43</v>
      </c>
      <c r="X125" t="s">
        <v>44</v>
      </c>
      <c r="Y125" t="s">
        <v>45</v>
      </c>
    </row>
    <row r="126" spans="1:25" x14ac:dyDescent="0.15">
      <c r="A126" s="6">
        <f>'[1]Основной сток'!A123</f>
        <v>1683297</v>
      </c>
      <c r="B126" t="s">
        <v>33</v>
      </c>
      <c r="D126" t="s">
        <v>34</v>
      </c>
      <c r="E126" t="s">
        <v>35</v>
      </c>
      <c r="F126" s="7" t="str">
        <f>PROPER(LEFT('[1]Основной сток'!I123,FIND(CHAR(10),'[1]Основной сток'!I123&amp;CHAR(10))-1))</f>
        <v xml:space="preserve">Jordan 1 Low Vintage Panda </v>
      </c>
      <c r="G126" t="str">
        <f>F126 &amp; ", " &amp; '[1]Основной сток'!H123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сток'!J123 &amp; " / RU " &amp;
INDEX('[1]Размерная сетка'!$B$2:$B$40,MATCH('[1]Основной сток'!J123,'[1]Размерная сетка'!$A$2:$A$40,0)) &amp; " / US " &amp;
INDEX('[1]Размерная сетка'!$C$2:$C$40,MATCH('[1]Основной сток'!J123,'[1]Размерная сетка'!$A$2:$A$40,0)) &amp; " / см " &amp;
INDEX('[1]Размерная сетка'!$D$2:$D$40,MATCH('[1]Основной сток'!J123,'[1]Размерная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Low Vintage Panda , FB9893-101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26" s="8">
        <f>'[1]Основной сток'!L123</f>
        <v>17000</v>
      </c>
      <c r="I126" s="1" t="str" cm="1">
        <f t="array" ref="I126">VLOOKUP(INDEX('[1]Основной сток'!H:H,ROW()-3),[1]Фотки!A:B,2,FALSE)</f>
        <v>https://i.ibb.co/ZRx2D7hV/1.jpg|https://i.ibb.co/BJR3KdV/2.jpg|https://i.ibb.co/gLG99HZV/3.jpg|https://i.ibb.co/8LyYkBRF/4.jpg</v>
      </c>
      <c r="J126" t="s">
        <v>36</v>
      </c>
      <c r="K126" t="s">
        <v>37</v>
      </c>
      <c r="L126" t="str">
        <f t="shared" si="2"/>
        <v>Женская обувь</v>
      </c>
      <c r="M126" t="s">
        <v>38</v>
      </c>
      <c r="N126" t="s">
        <v>39</v>
      </c>
      <c r="O126" t="str">
        <f>PROPER('[1]Основной сток'!F123)</f>
        <v>Jordan</v>
      </c>
      <c r="P126" t="str">
        <f>'[1]Основной сток'!M123</f>
        <v>Черный</v>
      </c>
      <c r="R126" t="s">
        <v>41</v>
      </c>
      <c r="S126" t="s">
        <v>42</v>
      </c>
      <c r="T126" t="str">
        <f t="shared" si="3"/>
        <v>Кроссовки и кеды</v>
      </c>
      <c r="U126">
        <f>'[1]Основной сток'!J123 - 1</f>
        <v>37</v>
      </c>
      <c r="V126" t="s">
        <v>43</v>
      </c>
      <c r="X126" t="s">
        <v>44</v>
      </c>
      <c r="Y126" t="s">
        <v>45</v>
      </c>
    </row>
    <row r="127" spans="1:25" x14ac:dyDescent="0.15">
      <c r="A127" s="6">
        <f>'[1]Основной сток'!A124</f>
        <v>1683298</v>
      </c>
      <c r="B127" t="s">
        <v>33</v>
      </c>
      <c r="D127" t="s">
        <v>34</v>
      </c>
      <c r="E127" t="s">
        <v>35</v>
      </c>
      <c r="F127" s="7" t="str">
        <f>PROPER(LEFT('[1]Основной сток'!I124,FIND(CHAR(10),'[1]Основной сток'!I124&amp;CHAR(10))-1))</f>
        <v xml:space="preserve">Jordan 1 Low Vintage Panda </v>
      </c>
      <c r="G127" t="str">
        <f>F127 &amp; ", " &amp; '[1]Основной сток'!H124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сток'!J124 &amp; " / RU " &amp;
INDEX('[1]Размерная сетка'!$B$2:$B$40,MATCH('[1]Основной сток'!J124,'[1]Размерная сетка'!$A$2:$A$40,0)) &amp; " / US " &amp;
INDEX('[1]Размерная сетка'!$C$2:$C$40,MATCH('[1]Основной сток'!J124,'[1]Размерная сетка'!$A$2:$A$40,0)) &amp; " / см " &amp;
INDEX('[1]Размерная сетка'!$D$2:$D$40,MATCH('[1]Основной сток'!J124,'[1]Размерная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Low Vintage Panda , FB9893-101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27" s="8">
        <f>'[1]Основной сток'!L124</f>
        <v>17000</v>
      </c>
      <c r="I127" s="1" t="str" cm="1">
        <f t="array" ref="I127">VLOOKUP(INDEX('[1]Основной сток'!H:H,ROW()-3),[1]Фотки!A:B,2,FALSE)</f>
        <v>https://i.ibb.co/ZRx2D7hV/1.jpg|https://i.ibb.co/BJR3KdV/2.jpg|https://i.ibb.co/gLG99HZV/3.jpg|https://i.ibb.co/8LyYkBRF/4.jpg</v>
      </c>
      <c r="J127" t="s">
        <v>36</v>
      </c>
      <c r="K127" t="s">
        <v>37</v>
      </c>
      <c r="L127" t="str">
        <f t="shared" si="2"/>
        <v>Женская обувь</v>
      </c>
      <c r="M127" t="s">
        <v>38</v>
      </c>
      <c r="N127" t="s">
        <v>39</v>
      </c>
      <c r="O127" t="str">
        <f>PROPER('[1]Основной сток'!F124)</f>
        <v>Jordan</v>
      </c>
      <c r="P127" t="str">
        <f>'[1]Основной сток'!M124</f>
        <v>Черный</v>
      </c>
      <c r="R127" t="s">
        <v>41</v>
      </c>
      <c r="S127" t="s">
        <v>42</v>
      </c>
      <c r="T127" t="str">
        <f t="shared" si="3"/>
        <v>Кроссовки и кеды</v>
      </c>
      <c r="U127">
        <f>'[1]Основной сток'!J124 - 1</f>
        <v>37.5</v>
      </c>
      <c r="V127" t="s">
        <v>43</v>
      </c>
      <c r="X127" t="s">
        <v>44</v>
      </c>
      <c r="Y127" t="s">
        <v>45</v>
      </c>
    </row>
    <row r="128" spans="1:25" x14ac:dyDescent="0.15">
      <c r="A128" s="6">
        <f>'[1]Основной сток'!A125</f>
        <v>1683299</v>
      </c>
      <c r="B128" t="s">
        <v>33</v>
      </c>
      <c r="D128" t="s">
        <v>34</v>
      </c>
      <c r="E128" t="s">
        <v>35</v>
      </c>
      <c r="F128" s="7" t="str">
        <f>PROPER(LEFT('[1]Основной сток'!I125,FIND(CHAR(10),'[1]Основной сток'!I125&amp;CHAR(10))-1))</f>
        <v xml:space="preserve">Jordan 1 Low Vintage Panda </v>
      </c>
      <c r="G128" t="str">
        <f>F128 &amp; ", " &amp; '[1]Основной сток'!H125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сток'!J125 &amp; " / RU " &amp;
INDEX('[1]Размерная сетка'!$B$2:$B$40,MATCH('[1]Основной сток'!J125,'[1]Размерная сетка'!$A$2:$A$40,0)) &amp; " / US " &amp;
INDEX('[1]Размерная сетка'!$C$2:$C$40,MATCH('[1]Основной сток'!J125,'[1]Размерная сетка'!$A$2:$A$40,0)) &amp; " / см " &amp;
INDEX('[1]Размерная сетка'!$D$2:$D$40,MATCH('[1]Основной сток'!J125,'[1]Размерная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Low Vintage Panda , FB9893-101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28" s="8">
        <f>'[1]Основной сток'!L125</f>
        <v>17000</v>
      </c>
      <c r="I128" s="1" t="str" cm="1">
        <f t="array" ref="I128">VLOOKUP(INDEX('[1]Основной сток'!H:H,ROW()-3),[1]Фотки!A:B,2,FALSE)</f>
        <v>https://i.ibb.co/ZRx2D7hV/1.jpg|https://i.ibb.co/BJR3KdV/2.jpg|https://i.ibb.co/gLG99HZV/3.jpg|https://i.ibb.co/8LyYkBRF/4.jpg</v>
      </c>
      <c r="J128" t="s">
        <v>36</v>
      </c>
      <c r="K128" t="s">
        <v>37</v>
      </c>
      <c r="L128" t="str">
        <f t="shared" si="2"/>
        <v>Женская обувь</v>
      </c>
      <c r="M128" t="s">
        <v>38</v>
      </c>
      <c r="N128" t="s">
        <v>39</v>
      </c>
      <c r="O128" t="str">
        <f>PROPER('[1]Основной сток'!F125)</f>
        <v>Jordan</v>
      </c>
      <c r="P128" t="str">
        <f>'[1]Основной сток'!M125</f>
        <v>Черный</v>
      </c>
      <c r="R128" t="s">
        <v>41</v>
      </c>
      <c r="S128" t="s">
        <v>42</v>
      </c>
      <c r="T128" t="str">
        <f t="shared" si="3"/>
        <v>Кроссовки и кеды</v>
      </c>
      <c r="U128">
        <f>'[1]Основной сток'!J125 - 1</f>
        <v>38</v>
      </c>
      <c r="V128" t="s">
        <v>43</v>
      </c>
      <c r="X128" t="s">
        <v>44</v>
      </c>
      <c r="Y128" t="s">
        <v>45</v>
      </c>
    </row>
    <row r="129" spans="1:25" x14ac:dyDescent="0.15">
      <c r="A129" s="6">
        <f>'[1]Основной сток'!A126</f>
        <v>1683300</v>
      </c>
      <c r="B129" t="s">
        <v>33</v>
      </c>
      <c r="D129" t="s">
        <v>34</v>
      </c>
      <c r="E129" t="s">
        <v>35</v>
      </c>
      <c r="F129" s="7" t="str">
        <f>PROPER(LEFT('[1]Основной сток'!I126,FIND(CHAR(10),'[1]Основной сток'!I126&amp;CHAR(10))-1))</f>
        <v xml:space="preserve">Jordan 1 Low Vintage Panda </v>
      </c>
      <c r="G129" t="str">
        <f>F129 &amp; ", " &amp; '[1]Основной сток'!H126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сток'!J126 &amp; " / RU " &amp;
INDEX('[1]Размерная сетка'!$B$2:$B$40,MATCH('[1]Основной сток'!J126,'[1]Размерная сетка'!$A$2:$A$40,0)) &amp; " / US " &amp;
INDEX('[1]Размерная сетка'!$C$2:$C$40,MATCH('[1]Основной сток'!J126,'[1]Размерная сетка'!$A$2:$A$40,0)) &amp; " / см " &amp;
INDEX('[1]Размерная сетка'!$D$2:$D$40,MATCH('[1]Основной сток'!J126,'[1]Размерная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Low Vintage Panda , FB9893-101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29" s="8">
        <f>'[1]Основной сток'!L126</f>
        <v>17000</v>
      </c>
      <c r="I129" s="1" t="str" cm="1">
        <f t="array" ref="I129">VLOOKUP(INDEX('[1]Основной сток'!H:H,ROW()-3),[1]Фотки!A:B,2,FALSE)</f>
        <v>https://i.ibb.co/ZRx2D7hV/1.jpg|https://i.ibb.co/BJR3KdV/2.jpg|https://i.ibb.co/gLG99HZV/3.jpg|https://i.ibb.co/8LyYkBRF/4.jpg</v>
      </c>
      <c r="J129" t="s">
        <v>36</v>
      </c>
      <c r="K129" t="s">
        <v>37</v>
      </c>
      <c r="L129" t="str">
        <f t="shared" si="2"/>
        <v>Женская обувь</v>
      </c>
      <c r="M129" t="s">
        <v>38</v>
      </c>
      <c r="N129" t="s">
        <v>39</v>
      </c>
      <c r="O129" t="str">
        <f>PROPER('[1]Основной сток'!F126)</f>
        <v>Jordan</v>
      </c>
      <c r="P129" t="str">
        <f>'[1]Основной сток'!M126</f>
        <v>Черный</v>
      </c>
      <c r="R129" t="s">
        <v>41</v>
      </c>
      <c r="S129" t="s">
        <v>42</v>
      </c>
      <c r="T129" t="str">
        <f t="shared" si="3"/>
        <v>Кроссовки и кеды</v>
      </c>
      <c r="U129">
        <f>'[1]Основной сток'!J126 - 1</f>
        <v>39</v>
      </c>
      <c r="V129" t="s">
        <v>43</v>
      </c>
      <c r="X129" t="s">
        <v>44</v>
      </c>
      <c r="Y129" t="s">
        <v>45</v>
      </c>
    </row>
    <row r="130" spans="1:25" x14ac:dyDescent="0.15">
      <c r="A130" s="6">
        <f>'[1]Основной сток'!A127</f>
        <v>1683301</v>
      </c>
      <c r="B130" t="s">
        <v>33</v>
      </c>
      <c r="D130" t="s">
        <v>34</v>
      </c>
      <c r="E130" t="s">
        <v>35</v>
      </c>
      <c r="F130" s="7" t="str">
        <f>PROPER(LEFT('[1]Основной сток'!I127,FIND(CHAR(10),'[1]Основной сток'!I127&amp;CHAR(10))-1))</f>
        <v xml:space="preserve">Jordan 1 Low Vintage Panda </v>
      </c>
      <c r="G130" t="str">
        <f>F130 &amp; ", " &amp; '[1]Основной сток'!H127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сток'!J127 &amp; " / RU " &amp;
INDEX('[1]Размерная сетка'!$B$2:$B$40,MATCH('[1]Основной сток'!J127,'[1]Размерная сетка'!$A$2:$A$40,0)) &amp; " / US " &amp;
INDEX('[1]Размерная сетка'!$C$2:$C$40,MATCH('[1]Основной сток'!J127,'[1]Размерная сетка'!$A$2:$A$40,0)) &amp; " / см " &amp;
INDEX('[1]Размерная сетка'!$D$2:$D$40,MATCH('[1]Основной сток'!J127,'[1]Размерная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Low Vintage Panda , FB9893-101
• В наличии в Москве
• Оригинал, можно проверить при получении
• Совершенно новые, полный комплект
• Размер: EU 40,5 / RU 39,5 / US 9 / см 25,3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30" s="8">
        <f>'[1]Основной сток'!L127</f>
        <v>17000</v>
      </c>
      <c r="I130" s="1" t="str" cm="1">
        <f t="array" ref="I130">VLOOKUP(INDEX('[1]Основной сток'!H:H,ROW()-3),[1]Фотки!A:B,2,FALSE)</f>
        <v>https://i.ibb.co/ZRx2D7hV/1.jpg|https://i.ibb.co/BJR3KdV/2.jpg|https://i.ibb.co/gLG99HZV/3.jpg|https://i.ibb.co/8LyYkBRF/4.jpg</v>
      </c>
      <c r="J130" t="s">
        <v>36</v>
      </c>
      <c r="K130" t="s">
        <v>37</v>
      </c>
      <c r="L130" t="str">
        <f t="shared" si="2"/>
        <v>Женская обувь</v>
      </c>
      <c r="M130" t="s">
        <v>38</v>
      </c>
      <c r="N130" t="s">
        <v>39</v>
      </c>
      <c r="O130" t="str">
        <f>PROPER('[1]Основной сток'!F127)</f>
        <v>Jordan</v>
      </c>
      <c r="P130" t="str">
        <f>'[1]Основной сток'!M127</f>
        <v>Черный</v>
      </c>
      <c r="R130" t="s">
        <v>41</v>
      </c>
      <c r="S130" t="s">
        <v>42</v>
      </c>
      <c r="T130" t="str">
        <f t="shared" si="3"/>
        <v>Кроссовки и кеды</v>
      </c>
      <c r="U130">
        <f>'[1]Основной сток'!J127 - 1</f>
        <v>39.5</v>
      </c>
      <c r="V130" t="s">
        <v>43</v>
      </c>
      <c r="X130" t="s">
        <v>44</v>
      </c>
      <c r="Y130" t="s">
        <v>45</v>
      </c>
    </row>
    <row r="131" spans="1:25" x14ac:dyDescent="0.15">
      <c r="A131" s="6">
        <f>'[1]Основной сток'!A128</f>
        <v>1683848</v>
      </c>
      <c r="B131" t="s">
        <v>33</v>
      </c>
      <c r="D131" t="s">
        <v>34</v>
      </c>
      <c r="E131" t="s">
        <v>35</v>
      </c>
      <c r="F131" s="7" t="str">
        <f>PROPER(LEFT('[1]Основной сток'!I128,FIND(CHAR(10),'[1]Основной сток'!I128&amp;CHAR(10))-1))</f>
        <v>New Balance 2002R Refined Future Grey</v>
      </c>
      <c r="G131" t="str">
        <f>F131 &amp; ", " &amp; '[1]Основной сток'!H128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сток'!J128 &amp; " / RU " &amp;
INDEX('[1]Размерная сетка'!$B$2:$B$40,MATCH('[1]Основной сток'!J128,'[1]Размерная сетка'!$A$2:$A$40,0)) &amp; " / US " &amp;
INDEX('[1]Размерная сетка'!$C$2:$C$40,MATCH('[1]Основной сток'!J128,'[1]Размерная сетка'!$A$2:$A$40,0)) &amp; " / см " &amp;
INDEX('[1]Размерная сетка'!$D$2:$D$40,MATCH('[1]Основной сток'!J128,'[1]Размерная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2002R Refined Future Grey, M2002RDA (Future)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31" s="8">
        <f>'[1]Основной сток'!L128</f>
        <v>32000</v>
      </c>
      <c r="I131" s="1" t="str" cm="1">
        <f t="array" ref="I131">VLOOKUP(INDEX('[1]Основной сток'!H:H,ROW()-3),[1]Фотки!A:B,2,FALSE)</f>
        <v>https://i.ibb.co/7x5P9nTP/m2002rdm-gry-01.jpg</v>
      </c>
      <c r="J131" t="s">
        <v>36</v>
      </c>
      <c r="K131" t="s">
        <v>37</v>
      </c>
      <c r="L131" t="str">
        <f t="shared" si="2"/>
        <v>Женская обувь</v>
      </c>
      <c r="M131" t="s">
        <v>38</v>
      </c>
      <c r="N131" t="s">
        <v>39</v>
      </c>
      <c r="O131" t="str">
        <f>PROPER('[1]Основной сток'!F128)</f>
        <v>New Balance</v>
      </c>
      <c r="P131" t="str">
        <f>'[1]Основной сток'!M128</f>
        <v>Серый</v>
      </c>
      <c r="R131" t="s">
        <v>41</v>
      </c>
      <c r="S131" t="s">
        <v>42</v>
      </c>
      <c r="T131" t="str">
        <f t="shared" si="3"/>
        <v>Кроссовки и кеды</v>
      </c>
      <c r="U131">
        <f>'[1]Основной сток'!J128 - 1</f>
        <v>37</v>
      </c>
      <c r="V131" t="s">
        <v>43</v>
      </c>
      <c r="X131" t="s">
        <v>44</v>
      </c>
      <c r="Y131" t="s">
        <v>45</v>
      </c>
    </row>
    <row r="132" spans="1:25" x14ac:dyDescent="0.15">
      <c r="A132" s="6">
        <f>'[1]Основной сток'!A129</f>
        <v>1694667</v>
      </c>
      <c r="B132" t="s">
        <v>33</v>
      </c>
      <c r="D132" t="s">
        <v>34</v>
      </c>
      <c r="E132" t="s">
        <v>35</v>
      </c>
      <c r="F132" s="7" t="str">
        <f>PROPER(LEFT('[1]Основной сток'!I129,FIND(CHAR(10),'[1]Основной сток'!I129&amp;CHAR(10))-1))</f>
        <v>New Balance 2002R Protection Pack «Phantom»</v>
      </c>
      <c r="G132" t="str">
        <f>F132 &amp; ", " &amp; '[1]Основной сток'!H129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сток'!J129 &amp; " / RU " &amp;
INDEX('[1]Размерная сетка'!$B$2:$B$40,MATCH('[1]Основной сток'!J129,'[1]Размерная сетка'!$A$2:$A$40,0)) &amp; " / US " &amp;
INDEX('[1]Размерная сетка'!$C$2:$C$40,MATCH('[1]Основной сток'!J129,'[1]Размерная сетка'!$A$2:$A$40,0)) &amp; " / см " &amp;
INDEX('[1]Размерная сетка'!$D$2:$D$40,MATCH('[1]Основной сток'!J129,'[1]Размерная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2002R Protection Pack «Phantom», M2002RDB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32" s="8">
        <f>'[1]Основной сток'!L129</f>
        <v>35000</v>
      </c>
      <c r="I132" s="1" t="str" cm="1">
        <f t="array" ref="I132">VLOOKUP(INDEX('[1]Основной сток'!H:H,ROW()-3),[1]Фотки!A:B,2,FALSE)</f>
        <v>https://i.ibb.co/DgRQygs6/1.jpg|https://i.ibb.co/k62FWtrg/2.jpg|https://i.ibb.co/yFsn61fZ/3.jpg|https://i.ibb.co/TQ5p1jJ/4.jpg</v>
      </c>
      <c r="J132" t="s">
        <v>36</v>
      </c>
      <c r="K132" t="s">
        <v>37</v>
      </c>
      <c r="L132" t="str">
        <f t="shared" si="2"/>
        <v>Женская обувь</v>
      </c>
      <c r="M132" t="s">
        <v>38</v>
      </c>
      <c r="N132" t="s">
        <v>39</v>
      </c>
      <c r="O132" t="str">
        <f>PROPER('[1]Основной сток'!F129)</f>
        <v>New Balance</v>
      </c>
      <c r="P132" t="str">
        <f>'[1]Основной сток'!M129</f>
        <v>Черный</v>
      </c>
      <c r="R132" t="s">
        <v>41</v>
      </c>
      <c r="S132" t="s">
        <v>42</v>
      </c>
      <c r="T132" t="str">
        <f t="shared" si="3"/>
        <v>Кроссовки и кеды</v>
      </c>
      <c r="U132">
        <f>'[1]Основной сток'!J129 - 1</f>
        <v>37</v>
      </c>
      <c r="V132" t="s">
        <v>43</v>
      </c>
      <c r="X132" t="s">
        <v>44</v>
      </c>
      <c r="Y132" t="s">
        <v>45</v>
      </c>
    </row>
    <row r="133" spans="1:25" x14ac:dyDescent="0.15">
      <c r="A133" s="6">
        <f>'[1]Основной сток'!A130</f>
        <v>1709482</v>
      </c>
      <c r="B133" t="s">
        <v>33</v>
      </c>
      <c r="D133" t="s">
        <v>34</v>
      </c>
      <c r="E133" t="s">
        <v>35</v>
      </c>
      <c r="F133" s="7" t="str">
        <f>PROPER(LEFT('[1]Основной сток'!I130,FIND(CHAR(10),'[1]Основной сток'!I130&amp;CHAR(10))-1))</f>
        <v>Jordan 1 Retro High Og White Cement</v>
      </c>
      <c r="G133" t="str">
        <f>F133 &amp; ", " &amp; '[1]Основной сток'!H130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сток'!J130 &amp; " / RU " &amp;
INDEX('[1]Размерная сетка'!$B$2:$B$40,MATCH('[1]Основной сток'!J130,'[1]Размерная сетка'!$A$2:$A$40,0)) &amp; " / US " &amp;
INDEX('[1]Размерная сетка'!$C$2:$C$40,MATCH('[1]Основной сток'!J130,'[1]Размерная сетка'!$A$2:$A$40,0)) &amp; " / см " &amp;
INDEX('[1]Размерная сетка'!$D$2:$D$40,MATCH('[1]Основной сток'!J130,'[1]Размерная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Retro High Og White Cement, DZ5485-052
• В наличии в Москве
• Оригинал, можно проверить при получении
• Совершенно новые, полный комплект
• Размер: EU 43 / RU 42 / US 9,5 / см 27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33" s="8">
        <f>'[1]Основной сток'!L130</f>
        <v>15000</v>
      </c>
      <c r="I133" s="1" t="str" cm="1">
        <f t="array" ref="I133">VLOOKUP(INDEX('[1]Основной сток'!H:H,ROW()-3),[1]Фотки!A:B,2,FALSE)</f>
        <v>https://i.ibb.co/Y7dVMtGv/1.jpg|https://i.ibb.co/FLQ8XGZS/2.jpg|https://i.ibb.co/dwd7R22r/3.jpg|https://i.ibb.co/20Hm133P/4.jpg</v>
      </c>
      <c r="J133" t="s">
        <v>36</v>
      </c>
      <c r="K133" t="s">
        <v>37</v>
      </c>
      <c r="L133" t="str">
        <f t="shared" si="2"/>
        <v>Мужская обувь</v>
      </c>
      <c r="M133" t="s">
        <v>38</v>
      </c>
      <c r="N133" t="s">
        <v>39</v>
      </c>
      <c r="O133" t="str">
        <f>PROPER('[1]Основной сток'!F130)</f>
        <v>Jordan</v>
      </c>
      <c r="P133" t="str">
        <f>'[1]Основной сток'!M130</f>
        <v>Серый</v>
      </c>
      <c r="R133" t="s">
        <v>41</v>
      </c>
      <c r="S133" t="s">
        <v>42</v>
      </c>
      <c r="T133" t="str">
        <f t="shared" si="3"/>
        <v>Кроссовки</v>
      </c>
      <c r="U133">
        <f>'[1]Основной сток'!J130 - 1</f>
        <v>42</v>
      </c>
      <c r="V133" t="s">
        <v>43</v>
      </c>
      <c r="X133" t="s">
        <v>44</v>
      </c>
      <c r="Y133" t="s">
        <v>45</v>
      </c>
    </row>
    <row r="134" spans="1:25" x14ac:dyDescent="0.15">
      <c r="A134" s="6">
        <f>'[1]Основной сток'!A131</f>
        <v>1715970</v>
      </c>
      <c r="B134" t="s">
        <v>33</v>
      </c>
      <c r="D134" t="s">
        <v>34</v>
      </c>
      <c r="E134" t="s">
        <v>35</v>
      </c>
      <c r="F134" s="7" t="str">
        <f>PROPER(LEFT('[1]Основной сток'!I131,FIND(CHAR(10),'[1]Основной сток'!I131&amp;CHAR(10))-1))</f>
        <v>Jordan 1 Low Se Homage Split White Black (W)</v>
      </c>
      <c r="G134" t="str">
        <f>F134 &amp; ", " &amp; '[1]Основной сток'!H131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сток'!J131 &amp; " / RU " &amp;
INDEX('[1]Размерная сетка'!$B$2:$B$40,MATCH('[1]Основной сток'!J131,'[1]Размерная сетка'!$A$2:$A$40,0)) &amp; " / US " &amp;
INDEX('[1]Размерная сетка'!$C$2:$C$40,MATCH('[1]Основной сток'!J131,'[1]Размерная сетка'!$A$2:$A$40,0)) &amp; " / см " &amp;
INDEX('[1]Размерная сетка'!$D$2:$D$40,MATCH('[1]Основной сток'!J131,'[1]Размерная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Low Se Homage Split White Black (W), DR0502-101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34" s="8">
        <f>'[1]Основной сток'!L131</f>
        <v>11900</v>
      </c>
      <c r="I134" s="1" t="str" cm="1">
        <f t="array" ref="I134">VLOOKUP(INDEX('[1]Основной сток'!H:H,ROW()-3),[1]Фотки!A:B,2,FALSE)</f>
        <v>https://i.ibb.co/hRc0zdRW/1-1.jpg|https://i.ibb.co/39f97ntP/2.jpg|https://i.ibb.co/3m6D5VPB/3.jpg|https://i.ibb.co/0p8X4PBs/4.jpg|https://i.ibb.co/hFZB0SRK/5.jpg|https://i.ibb.co/KcvDHfZj/6.jpg|https://i.ibb.co/wFQP9WMQ/9.jpg</v>
      </c>
      <c r="J134" t="s">
        <v>36</v>
      </c>
      <c r="K134" t="s">
        <v>37</v>
      </c>
      <c r="L134" t="str">
        <f t="shared" ref="L134:L197" si="4">IF(U134&lt;=40,"Женская обувь","Мужская обувь")</f>
        <v>Женская обувь</v>
      </c>
      <c r="M134" t="s">
        <v>38</v>
      </c>
      <c r="N134" t="s">
        <v>39</v>
      </c>
      <c r="O134" t="str">
        <f>PROPER('[1]Основной сток'!F131)</f>
        <v>Jordan</v>
      </c>
      <c r="P134" t="str">
        <f>'[1]Основной сток'!M131</f>
        <v>Черный</v>
      </c>
      <c r="R134" t="s">
        <v>41</v>
      </c>
      <c r="S134" t="s">
        <v>42</v>
      </c>
      <c r="T134" t="str">
        <f t="shared" si="3"/>
        <v>Кроссовки и кеды</v>
      </c>
      <c r="U134">
        <f>'[1]Основной сток'!J131 - 1</f>
        <v>38</v>
      </c>
      <c r="V134" t="s">
        <v>43</v>
      </c>
      <c r="X134" t="s">
        <v>44</v>
      </c>
      <c r="Y134" t="s">
        <v>45</v>
      </c>
    </row>
    <row r="135" spans="1:25" x14ac:dyDescent="0.15">
      <c r="A135" s="6">
        <f>'[1]Основной сток'!A132</f>
        <v>1717303</v>
      </c>
      <c r="B135" t="s">
        <v>33</v>
      </c>
      <c r="D135" t="s">
        <v>34</v>
      </c>
      <c r="E135" t="s">
        <v>35</v>
      </c>
      <c r="F135" s="7" t="str">
        <f>PROPER(LEFT('[1]Основной сток'!I132,FIND(CHAR(10),'[1]Основной сток'!I132&amp;CHAR(10))-1))</f>
        <v>Nike Dunk Low Black White (W)</v>
      </c>
      <c r="G135" t="str">
        <f>F135 &amp; ", " &amp; '[1]Основной сток'!H132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сток'!J132 &amp; " / RU " &amp;
INDEX('[1]Размерная сетка'!$B$2:$B$40,MATCH('[1]Основной сток'!J132,'[1]Размерная сетка'!$A$2:$A$40,0)) &amp; " / US " &amp;
INDEX('[1]Размерная сетка'!$C$2:$C$40,MATCH('[1]Основной сток'!J132,'[1]Размерная сетка'!$A$2:$A$40,0)) &amp; " / см " &amp;
INDEX('[1]Размерная сетка'!$D$2:$D$40,MATCH('[1]Основной сток'!J132,'[1]Размерная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Black White (W), DD1503-101
• В наличии в Москве
• Оригинал, можно проверить при получении
• Совершенно новые, полный комплект
• Размер: EU 36,5 / RU 35,5 / US 6 / см 22,7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35" s="8">
        <f>'[1]Основной сток'!L132</f>
        <v>12500</v>
      </c>
      <c r="I135" s="1" t="str" cm="1">
        <f t="array" ref="I135">VLOOKUP(INDEX('[1]Основной сток'!H:H,ROW()-3),[1]Фотки!A:B,2,FALSE)</f>
        <v>https://i.ibb.co/KpVQ313k/1-1.jpg|https://i.ibb.co/PZS7ShWS/2.jpg|https://i.ibb.co/7Jfy4VWt/3.jpg|https://i.ibb.co/whWP1Z0R/4.jpg</v>
      </c>
      <c r="J135" t="s">
        <v>36</v>
      </c>
      <c r="K135" t="s">
        <v>37</v>
      </c>
      <c r="L135" t="str">
        <f t="shared" si="4"/>
        <v>Женская обувь</v>
      </c>
      <c r="M135" t="s">
        <v>38</v>
      </c>
      <c r="N135" t="s">
        <v>39</v>
      </c>
      <c r="O135" t="str">
        <f>PROPER('[1]Основной сток'!F132)</f>
        <v>Nike</v>
      </c>
      <c r="P135" t="str">
        <f>'[1]Основной сток'!M132</f>
        <v>Черный</v>
      </c>
      <c r="R135" t="s">
        <v>41</v>
      </c>
      <c r="S135" t="s">
        <v>42</v>
      </c>
      <c r="T135" t="str">
        <f t="shared" ref="T135:T198" si="5">IF(L135="Мужская обувь","Кроссовки","Кроссовки и кеды")</f>
        <v>Кроссовки и кеды</v>
      </c>
      <c r="U135">
        <f>'[1]Основной сток'!J132 - 1</f>
        <v>35.5</v>
      </c>
      <c r="V135" t="s">
        <v>43</v>
      </c>
      <c r="X135" t="s">
        <v>44</v>
      </c>
      <c r="Y135" t="s">
        <v>45</v>
      </c>
    </row>
    <row r="136" spans="1:25" x14ac:dyDescent="0.15">
      <c r="A136" s="6">
        <f>'[1]Основной сток'!A133</f>
        <v>1717307</v>
      </c>
      <c r="B136" t="s">
        <v>33</v>
      </c>
      <c r="D136" t="s">
        <v>34</v>
      </c>
      <c r="E136" t="s">
        <v>35</v>
      </c>
      <c r="F136" s="7" t="str">
        <f>PROPER(LEFT('[1]Основной сток'!I133,FIND(CHAR(10),'[1]Основной сток'!I133&amp;CHAR(10))-1))</f>
        <v>Jordan 1 Mid Coconut Milk</v>
      </c>
      <c r="G136" t="str">
        <f>F136 &amp; ", " &amp; '[1]Основной сток'!H133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сток'!J133 &amp; " / RU " &amp;
INDEX('[1]Размерная сетка'!$B$2:$B$40,MATCH('[1]Основной сток'!J133,'[1]Размерная сетка'!$A$2:$A$40,0)) &amp; " / US " &amp;
INDEX('[1]Размерная сетка'!$C$2:$C$40,MATCH('[1]Основной сток'!J133,'[1]Размерная сетка'!$A$2:$A$40,0)) &amp; " / см " &amp;
INDEX('[1]Размерная сетка'!$D$2:$D$40,MATCH('[1]Основной сток'!J133,'[1]Размерная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Mid Coconut Milk, BQ6472-121
• В наличии в Москве
• Оригинал, можно проверить при получении
• Совершенно новые, полный комплект
• Размер: EU 36 / RU 35 / US 5,5 / см 22,5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36" s="8">
        <f>'[1]Основной сток'!L133</f>
        <v>13900</v>
      </c>
      <c r="I136" s="1" t="str" cm="1">
        <f t="array" ref="I136">VLOOKUP(INDEX('[1]Основной сток'!H:H,ROW()-3),[1]Фотки!A:B,2,FALSE)</f>
        <v>https://i.ibb.co/xKNNZS5N/1.jpg|https://i.ibb.co/cmMYR8y/2.jpg|https://i.ibb.co/7xMSNHQs/3.jpg|https://i.ibb.co/Qj39mfp6/4.jpg</v>
      </c>
      <c r="J136" t="s">
        <v>36</v>
      </c>
      <c r="K136" t="s">
        <v>37</v>
      </c>
      <c r="L136" t="str">
        <f t="shared" si="4"/>
        <v>Женская обувь</v>
      </c>
      <c r="M136" t="s">
        <v>38</v>
      </c>
      <c r="N136" t="s">
        <v>39</v>
      </c>
      <c r="O136" t="str">
        <f>PROPER('[1]Основной сток'!F133)</f>
        <v>Jordan</v>
      </c>
      <c r="P136" t="str">
        <f>'[1]Основной сток'!M133</f>
        <v>Белый</v>
      </c>
      <c r="R136" t="s">
        <v>41</v>
      </c>
      <c r="S136" t="s">
        <v>42</v>
      </c>
      <c r="T136" t="str">
        <f t="shared" si="5"/>
        <v>Кроссовки и кеды</v>
      </c>
      <c r="U136">
        <f>'[1]Основной сток'!J133 - 1</f>
        <v>35</v>
      </c>
      <c r="V136" t="s">
        <v>43</v>
      </c>
      <c r="X136" t="s">
        <v>44</v>
      </c>
      <c r="Y136" t="s">
        <v>45</v>
      </c>
    </row>
    <row r="137" spans="1:25" x14ac:dyDescent="0.15">
      <c r="A137" s="6">
        <f>'[1]Основной сток'!A134</f>
        <v>1718514</v>
      </c>
      <c r="B137" t="s">
        <v>33</v>
      </c>
      <c r="D137" t="s">
        <v>34</v>
      </c>
      <c r="E137" t="s">
        <v>35</v>
      </c>
      <c r="F137" s="7" t="str">
        <f>PROPER(LEFT('[1]Основной сток'!I134,FIND(CHAR(10),'[1]Основной сток'!I134&amp;CHAR(10))-1))</f>
        <v>Adidas Campus 00S Panda</v>
      </c>
      <c r="G137" t="str">
        <f>F137 &amp; ", " &amp; '[1]Основной сток'!H134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сток'!J134 &amp; " / RU " &amp;
INDEX('[1]Размерная сетка'!$B$2:$B$40,MATCH('[1]Основной сток'!J134,'[1]Размерная сетка'!$A$2:$A$40,0)) &amp; " / US " &amp;
INDEX('[1]Размерная сетка'!$C$2:$C$40,MATCH('[1]Основной сток'!J134,'[1]Размерная сетка'!$A$2:$A$40,0)) &amp; " / см " &amp;
INDEX('[1]Размерная сетка'!$D$2:$D$40,MATCH('[1]Основной сток'!J134,'[1]Размерная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Campus 00S Panda, HQ8708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37" s="8">
        <f>'[1]Основной сток'!L134</f>
        <v>12900</v>
      </c>
      <c r="I137" s="1" t="str" cm="1">
        <f t="array" ref="I137">VLOOKUP(INDEX('[1]Основной сток'!H:H,ROW()-3),[1]Фотки!A:B,2,FALSE)</f>
        <v>https://i.ibb.co/mFvvYb89/1-1.jpg|https://i.ibb.co/v4htR6w6/2.jpg|https://i.ibb.co/tMYKGSdx/3.jpg|https://i.ibb.co/0N6jGKX/4.jpg</v>
      </c>
      <c r="J137" t="s">
        <v>36</v>
      </c>
      <c r="K137" t="s">
        <v>37</v>
      </c>
      <c r="L137" t="str">
        <f t="shared" si="4"/>
        <v>Женская обувь</v>
      </c>
      <c r="M137" t="s">
        <v>38</v>
      </c>
      <c r="N137" t="s">
        <v>39</v>
      </c>
      <c r="O137" t="str">
        <f>PROPER('[1]Основной сток'!F134)</f>
        <v>Adidas</v>
      </c>
      <c r="P137" t="str">
        <f>'[1]Основной сток'!M134</f>
        <v>Черный</v>
      </c>
      <c r="R137" t="s">
        <v>41</v>
      </c>
      <c r="S137" t="s">
        <v>42</v>
      </c>
      <c r="T137" t="str">
        <f t="shared" si="5"/>
        <v>Кроссовки и кеды</v>
      </c>
      <c r="U137">
        <f>'[1]Основной сток'!J134 - 1</f>
        <v>37.5</v>
      </c>
      <c r="V137" t="s">
        <v>43</v>
      </c>
      <c r="X137" t="s">
        <v>44</v>
      </c>
      <c r="Y137" t="s">
        <v>45</v>
      </c>
    </row>
    <row r="138" spans="1:25" x14ac:dyDescent="0.15">
      <c r="A138" s="6">
        <f>'[1]Основной сток'!A135</f>
        <v>1720847</v>
      </c>
      <c r="B138" t="s">
        <v>33</v>
      </c>
      <c r="D138" t="s">
        <v>34</v>
      </c>
      <c r="E138" t="s">
        <v>35</v>
      </c>
      <c r="F138" s="7" t="str">
        <f>PROPER(LEFT('[1]Основной сток'!I135,FIND(CHAR(10),'[1]Основной сток'!I135&amp;CHAR(10))-1))</f>
        <v>Air Jordan 1 Retro High Og Lucky Green (Gs)</v>
      </c>
      <c r="G138" t="str">
        <f>F138 &amp; ", " &amp; '[1]Основной сток'!H135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сток'!J135 &amp; " / RU " &amp;
INDEX('[1]Размерная сетка'!$B$2:$B$40,MATCH('[1]Основной сток'!J135,'[1]Размерная сетка'!$A$2:$A$40,0)) &amp; " / US " &amp;
INDEX('[1]Размерная сетка'!$C$2:$C$40,MATCH('[1]Основной сток'!J135,'[1]Размерная сетка'!$A$2:$A$40,0)) &amp; " / см " &amp;
INDEX('[1]Размерная сетка'!$D$2:$D$40,MATCH('[1]Основной сток'!J135,'[1]Размерная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Retro High Og Lucky Green (Gs), FD1437-031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38" s="8">
        <f>'[1]Основной сток'!L135</f>
        <v>12000</v>
      </c>
      <c r="I138" s="1" t="str" cm="1">
        <f t="array" ref="I138">VLOOKUP(INDEX('[1]Основной сток'!H:H,ROW()-3),[1]Фотки!A:B,2,FALSE)</f>
        <v>https://i.ibb.co/jvG6gHyj/1-1.jpg</v>
      </c>
      <c r="J138" t="s">
        <v>36</v>
      </c>
      <c r="K138" t="s">
        <v>37</v>
      </c>
      <c r="L138" t="str">
        <f t="shared" si="4"/>
        <v>Женская обувь</v>
      </c>
      <c r="M138" t="s">
        <v>38</v>
      </c>
      <c r="N138" t="s">
        <v>39</v>
      </c>
      <c r="O138" t="str">
        <f>PROPER('[1]Основной сток'!F135)</f>
        <v>Jordan</v>
      </c>
      <c r="P138" t="str">
        <f>'[1]Основной сток'!M135</f>
        <v>Зелёный</v>
      </c>
      <c r="R138" t="s">
        <v>41</v>
      </c>
      <c r="S138" t="s">
        <v>42</v>
      </c>
      <c r="T138" t="str">
        <f t="shared" si="5"/>
        <v>Кроссовки и кеды</v>
      </c>
      <c r="U138">
        <f>'[1]Основной сток'!J135 - 1</f>
        <v>39</v>
      </c>
      <c r="V138" t="s">
        <v>43</v>
      </c>
      <c r="X138" t="s">
        <v>44</v>
      </c>
      <c r="Y138" t="s">
        <v>45</v>
      </c>
    </row>
    <row r="139" spans="1:25" x14ac:dyDescent="0.15">
      <c r="A139" s="6">
        <f>'[1]Основной сток'!A136</f>
        <v>1784442</v>
      </c>
      <c r="B139" t="s">
        <v>33</v>
      </c>
      <c r="D139" t="s">
        <v>34</v>
      </c>
      <c r="E139" t="s">
        <v>35</v>
      </c>
      <c r="F139" s="7" t="str">
        <f>PROPER(LEFT('[1]Основной сток'!I136,FIND(CHAR(10),'[1]Основной сток'!I136&amp;CHAR(10))-1))</f>
        <v>Dunk Low Gs 'University Blue'</v>
      </c>
      <c r="G139" t="str">
        <f>F139 &amp; ", " &amp; '[1]Основной сток'!H136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сток'!J136 &amp; " / RU " &amp;
INDEX('[1]Размерная сетка'!$B$2:$B$40,MATCH('[1]Основной сток'!J136,'[1]Размерная сетка'!$A$2:$A$40,0)) &amp; " / US " &amp;
INDEX('[1]Размерная сетка'!$C$2:$C$40,MATCH('[1]Основной сток'!J136,'[1]Размерная сетка'!$A$2:$A$40,0)) &amp; " / см " &amp;
INDEX('[1]Размерная сетка'!$D$2:$D$40,MATCH('[1]Основной сток'!J136,'[1]Размерная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Dunk Low Gs 'University Blue', CW1590-103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39" s="8">
        <f>'[1]Основной сток'!L136</f>
        <v>20000</v>
      </c>
      <c r="I139" s="1" t="str" cm="1">
        <f t="array" ref="I139">VLOOKUP(INDEX('[1]Основной сток'!H:H,ROW()-3),[1]Фотки!A:B,2,FALSE)</f>
        <v>https://i.ibb.co/k28NKYQv/1.jpg</v>
      </c>
      <c r="J139" t="s">
        <v>36</v>
      </c>
      <c r="K139" t="s">
        <v>37</v>
      </c>
      <c r="L139" t="str">
        <f t="shared" si="4"/>
        <v>Женская обувь</v>
      </c>
      <c r="M139" t="s">
        <v>38</v>
      </c>
      <c r="N139" t="s">
        <v>39</v>
      </c>
      <c r="O139" t="str">
        <f>PROPER('[1]Основной сток'!F136)</f>
        <v>Nike</v>
      </c>
      <c r="P139" t="str">
        <f>'[1]Основной сток'!M136</f>
        <v>Голубой</v>
      </c>
      <c r="R139" t="s">
        <v>41</v>
      </c>
      <c r="S139" t="s">
        <v>42</v>
      </c>
      <c r="T139" t="str">
        <f t="shared" si="5"/>
        <v>Кроссовки и кеды</v>
      </c>
      <c r="U139">
        <f>'[1]Основной сток'!J136 - 1</f>
        <v>37</v>
      </c>
      <c r="V139" t="s">
        <v>43</v>
      </c>
      <c r="X139" t="s">
        <v>44</v>
      </c>
      <c r="Y139" t="s">
        <v>45</v>
      </c>
    </row>
    <row r="140" spans="1:25" x14ac:dyDescent="0.15">
      <c r="A140" s="6">
        <f>'[1]Основной сток'!A137</f>
        <v>1784443</v>
      </c>
      <c r="B140" t="s">
        <v>33</v>
      </c>
      <c r="D140" t="s">
        <v>34</v>
      </c>
      <c r="E140" t="s">
        <v>35</v>
      </c>
      <c r="F140" s="7" t="str">
        <f>PROPER(LEFT('[1]Основной сток'!I137,FIND(CHAR(10),'[1]Основной сток'!I137&amp;CHAR(10))-1))</f>
        <v>Dunk Low Gs 'University Blue'</v>
      </c>
      <c r="G140" t="str">
        <f>F140 &amp; ", " &amp; '[1]Основной сток'!H137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сток'!J137 &amp; " / RU " &amp;
INDEX('[1]Размерная сетка'!$B$2:$B$40,MATCH('[1]Основной сток'!J137,'[1]Размерная сетка'!$A$2:$A$40,0)) &amp; " / US " &amp;
INDEX('[1]Размерная сетка'!$C$2:$C$40,MATCH('[1]Основной сток'!J137,'[1]Размерная сетка'!$A$2:$A$40,0)) &amp; " / см " &amp;
INDEX('[1]Размерная сетка'!$D$2:$D$40,MATCH('[1]Основной сток'!J137,'[1]Размерная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Dunk Low Gs 'University Blue', CW1590-103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40" s="8">
        <f>'[1]Основной сток'!L137</f>
        <v>20000</v>
      </c>
      <c r="I140" s="1" t="str" cm="1">
        <f t="array" ref="I140">VLOOKUP(INDEX('[1]Основной сток'!H:H,ROW()-3),[1]Фотки!A:B,2,FALSE)</f>
        <v>https://i.ibb.co/k28NKYQv/1.jpg</v>
      </c>
      <c r="J140" t="s">
        <v>36</v>
      </c>
      <c r="K140" t="s">
        <v>37</v>
      </c>
      <c r="L140" t="str">
        <f t="shared" si="4"/>
        <v>Женская обувь</v>
      </c>
      <c r="M140" t="s">
        <v>38</v>
      </c>
      <c r="N140" t="s">
        <v>39</v>
      </c>
      <c r="O140" t="str">
        <f>PROPER('[1]Основной сток'!F137)</f>
        <v>Nike</v>
      </c>
      <c r="P140" t="str">
        <f>'[1]Основной сток'!M137</f>
        <v>Голубой</v>
      </c>
      <c r="R140" t="s">
        <v>41</v>
      </c>
      <c r="S140" t="s">
        <v>42</v>
      </c>
      <c r="T140" t="str">
        <f t="shared" si="5"/>
        <v>Кроссовки и кеды</v>
      </c>
      <c r="U140">
        <f>'[1]Основной сток'!J137 - 1</f>
        <v>37.5</v>
      </c>
      <c r="V140" t="s">
        <v>43</v>
      </c>
      <c r="X140" t="s">
        <v>44</v>
      </c>
      <c r="Y140" t="s">
        <v>45</v>
      </c>
    </row>
    <row r="141" spans="1:25" x14ac:dyDescent="0.15">
      <c r="A141" s="6">
        <f>'[1]Основной сток'!A138</f>
        <v>1784444</v>
      </c>
      <c r="B141" t="s">
        <v>33</v>
      </c>
      <c r="D141" t="s">
        <v>34</v>
      </c>
      <c r="E141" t="s">
        <v>35</v>
      </c>
      <c r="F141" s="7" t="str">
        <f>PROPER(LEFT('[1]Основной сток'!I138,FIND(CHAR(10),'[1]Основной сток'!I138&amp;CHAR(10))-1))</f>
        <v>Dunk Low Gs 'University Blue'</v>
      </c>
      <c r="G141" t="str">
        <f>F141 &amp; ", " &amp; '[1]Основной сток'!H138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сток'!J138 &amp; " / RU " &amp;
INDEX('[1]Размерная сетка'!$B$2:$B$40,MATCH('[1]Основной сток'!J138,'[1]Размерная сетка'!$A$2:$A$40,0)) &amp; " / US " &amp;
INDEX('[1]Размерная сетка'!$C$2:$C$40,MATCH('[1]Основной сток'!J138,'[1]Размерная сетка'!$A$2:$A$40,0)) &amp; " / см " &amp;
INDEX('[1]Размерная сетка'!$D$2:$D$40,MATCH('[1]Основной сток'!J138,'[1]Размерная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Dunk Low Gs 'University Blue', CW1590-103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41" s="8">
        <f>'[1]Основной сток'!L138</f>
        <v>20000</v>
      </c>
      <c r="I141" s="1" t="str" cm="1">
        <f t="array" ref="I141">VLOOKUP(INDEX('[1]Основной сток'!H:H,ROW()-3),[1]Фотки!A:B,2,FALSE)</f>
        <v>https://i.ibb.co/k28NKYQv/1.jpg</v>
      </c>
      <c r="J141" t="s">
        <v>36</v>
      </c>
      <c r="K141" t="s">
        <v>37</v>
      </c>
      <c r="L141" t="str">
        <f t="shared" si="4"/>
        <v>Женская обувь</v>
      </c>
      <c r="M141" t="s">
        <v>38</v>
      </c>
      <c r="N141" t="s">
        <v>39</v>
      </c>
      <c r="O141" t="str">
        <f>PROPER('[1]Основной сток'!F138)</f>
        <v>Nike</v>
      </c>
      <c r="P141" t="str">
        <f>'[1]Основной сток'!M138</f>
        <v>Голубой</v>
      </c>
      <c r="R141" t="s">
        <v>41</v>
      </c>
      <c r="S141" t="s">
        <v>42</v>
      </c>
      <c r="T141" t="str">
        <f t="shared" si="5"/>
        <v>Кроссовки и кеды</v>
      </c>
      <c r="U141">
        <f>'[1]Основной сток'!J138 - 1</f>
        <v>38</v>
      </c>
      <c r="V141" t="s">
        <v>43</v>
      </c>
      <c r="X141" t="s">
        <v>44</v>
      </c>
      <c r="Y141" t="s">
        <v>45</v>
      </c>
    </row>
    <row r="142" spans="1:25" x14ac:dyDescent="0.15">
      <c r="A142" s="6">
        <f>'[1]Основной сток'!A139</f>
        <v>1784446</v>
      </c>
      <c r="B142" t="s">
        <v>33</v>
      </c>
      <c r="D142" t="s">
        <v>34</v>
      </c>
      <c r="E142" t="s">
        <v>35</v>
      </c>
      <c r="F142" s="7" t="str">
        <f>PROPER(LEFT('[1]Основной сток'!I139,FIND(CHAR(10),'[1]Основной сток'!I139&amp;CHAR(10))-1))</f>
        <v>Dunk Low Gs 'Michigan State'</v>
      </c>
      <c r="G142" t="str">
        <f>F142 &amp; ", " &amp; '[1]Основной сток'!H139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сток'!J139 &amp; " / RU " &amp;
INDEX('[1]Размерная сетка'!$B$2:$B$40,MATCH('[1]Основной сток'!J139,'[1]Размерная сетка'!$A$2:$A$40,0)) &amp; " / US " &amp;
INDEX('[1]Размерная сетка'!$C$2:$C$40,MATCH('[1]Основной сток'!J139,'[1]Размерная сетка'!$A$2:$A$40,0)) &amp; " / см " &amp;
INDEX('[1]Размерная сетка'!$D$2:$D$40,MATCH('[1]Основной сток'!J139,'[1]Размерная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Dunk Low Gs 'Michigan State', CW1590-102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42" s="8">
        <f>'[1]Основной сток'!L139</f>
        <v>20000</v>
      </c>
      <c r="I142" s="1" t="str" cm="1">
        <f t="array" ref="I142">VLOOKUP(INDEX('[1]Основной сток'!H:H,ROW()-3),[1]Фотки!A:B,2,FALSE)</f>
        <v>https://i.ibb.co/8DYkfvBv/1-1.jpg</v>
      </c>
      <c r="J142" t="s">
        <v>36</v>
      </c>
      <c r="K142" t="s">
        <v>37</v>
      </c>
      <c r="L142" t="str">
        <f t="shared" si="4"/>
        <v>Женская обувь</v>
      </c>
      <c r="M142" t="s">
        <v>38</v>
      </c>
      <c r="N142" t="s">
        <v>39</v>
      </c>
      <c r="O142" t="str">
        <f>PROPER('[1]Основной сток'!F139)</f>
        <v>Nike</v>
      </c>
      <c r="P142" t="str">
        <f>'[1]Основной сток'!M139</f>
        <v>Голубой</v>
      </c>
      <c r="R142" t="s">
        <v>41</v>
      </c>
      <c r="S142" t="s">
        <v>42</v>
      </c>
      <c r="T142" t="str">
        <f t="shared" si="5"/>
        <v>Кроссовки и кеды</v>
      </c>
      <c r="U142">
        <f>'[1]Основной сток'!J139 - 1</f>
        <v>37</v>
      </c>
      <c r="V142" t="s">
        <v>43</v>
      </c>
      <c r="X142" t="s">
        <v>44</v>
      </c>
      <c r="Y142" t="s">
        <v>45</v>
      </c>
    </row>
    <row r="143" spans="1:25" x14ac:dyDescent="0.15">
      <c r="A143" s="6">
        <f>'[1]Основной сток'!A140</f>
        <v>1791537</v>
      </c>
      <c r="B143" t="s">
        <v>33</v>
      </c>
      <c r="D143" t="s">
        <v>34</v>
      </c>
      <c r="E143" t="s">
        <v>35</v>
      </c>
      <c r="F143" s="7" t="str">
        <f>PROPER(LEFT('[1]Основной сток'!I140,FIND(CHAR(10),'[1]Основной сток'!I140&amp;CHAR(10))-1))</f>
        <v>Adidas Samba Og Sporty &amp; Rich White Black</v>
      </c>
      <c r="G143" t="str">
        <f>F143 &amp; ", " &amp; '[1]Основной сток'!H140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сток'!J140 &amp; " / RU " &amp;
INDEX('[1]Размерная сетка'!$B$2:$B$40,MATCH('[1]Основной сток'!J140,'[1]Размерная сетка'!$A$2:$A$40,0)) &amp; " / US " &amp;
INDEX('[1]Размерная сетка'!$C$2:$C$40,MATCH('[1]Основной сток'!J140,'[1]Размерная сетка'!$A$2:$A$40,0)) &amp; " / см " &amp;
INDEX('[1]Размерная сетка'!$D$2:$D$40,MATCH('[1]Основной сток'!J140,'[1]Размерная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Og Sporty &amp; Rich White Black, HP3354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43" s="8">
        <f>'[1]Основной сток'!L140</f>
        <v>39000</v>
      </c>
      <c r="I143" s="1" t="str" cm="1">
        <f t="array" ref="I143">VLOOKUP(INDEX('[1]Основной сток'!H:H,ROW()-3),[1]Фотки!A:B,2,FALSE)</f>
        <v>https://i.ibb.co/tNgDrzZ/1-1.jpg|https://i.ibb.co/NdN30jqR/2.jpg|https://i.ibb.co/20X7tVRW/3.jpg|https://i.ibb.co/tprs5CBq/4.jpg</v>
      </c>
      <c r="J143" t="s">
        <v>36</v>
      </c>
      <c r="K143" t="s">
        <v>37</v>
      </c>
      <c r="L143" t="str">
        <f t="shared" si="4"/>
        <v>Женская обувь</v>
      </c>
      <c r="M143" t="s">
        <v>38</v>
      </c>
      <c r="N143" t="s">
        <v>39</v>
      </c>
      <c r="O143" t="str">
        <f>PROPER('[1]Основной сток'!F140)</f>
        <v>Adidas</v>
      </c>
      <c r="P143" t="str">
        <f>'[1]Основной сток'!M140</f>
        <v>Белый</v>
      </c>
      <c r="R143" t="s">
        <v>41</v>
      </c>
      <c r="S143" t="s">
        <v>42</v>
      </c>
      <c r="T143" t="str">
        <f t="shared" si="5"/>
        <v>Кроссовки и кеды</v>
      </c>
      <c r="U143">
        <f>'[1]Основной сток'!J140 - 1</f>
        <v>37</v>
      </c>
      <c r="V143" t="s">
        <v>43</v>
      </c>
      <c r="X143" t="s">
        <v>44</v>
      </c>
      <c r="Y143" t="s">
        <v>45</v>
      </c>
    </row>
    <row r="144" spans="1:25" x14ac:dyDescent="0.15">
      <c r="A144" s="6">
        <f>'[1]Основной сток'!A141</f>
        <v>1799473</v>
      </c>
      <c r="B144" t="s">
        <v>33</v>
      </c>
      <c r="D144" t="s">
        <v>34</v>
      </c>
      <c r="E144" t="s">
        <v>35</v>
      </c>
      <c r="F144" s="7" t="str">
        <f>PROPER(LEFT('[1]Основной сток'!I141,FIND(CHAR(10),'[1]Основной сток'!I141&amp;CHAR(10))-1))</f>
        <v>Adidas Samba Og “White Black Gum”</v>
      </c>
      <c r="G144" t="str">
        <f>F144 &amp; ", " &amp; '[1]Основной сток'!H141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сток'!J141 &amp; " / RU " &amp;
INDEX('[1]Размерная сетка'!$B$2:$B$40,MATCH('[1]Основной сток'!J141,'[1]Размерная сетка'!$A$2:$A$40,0)) &amp; " / US " &amp;
INDEX('[1]Размерная сетка'!$C$2:$C$40,MATCH('[1]Основной сток'!J141,'[1]Размерная сетка'!$A$2:$A$40,0)) &amp; " / см " &amp;
INDEX('[1]Размерная сетка'!$D$2:$D$40,MATCH('[1]Основной сток'!J141,'[1]Размерная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Og “White Black Gum”, B75806
• В наличии в Москве
• Оригинал, можно проверить при получении
• Совершенно новые, полный комплект
• Размер: EU 36,5 / RU 35,5 / US 6 / см 22,7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44" s="8">
        <f>'[1]Основной сток'!L141</f>
        <v>19000</v>
      </c>
      <c r="I144" s="1" t="str" cm="1">
        <f t="array" ref="I144">VLOOKUP(INDEX('[1]Основной сток'!H:H,ROW()-3),[1]Фотки!A:B,2,FALSE)</f>
        <v>https://i.ibb.co/V0LxRH88/1-1.jpg|https://i.ibb.co/Ccghwnn/2.jpg|https://i.ibb.co/3yzdn8HJ/3.jpg|https://i.ibb.co/4RBysR3m/4.jpg</v>
      </c>
      <c r="J144" t="s">
        <v>36</v>
      </c>
      <c r="K144" t="s">
        <v>37</v>
      </c>
      <c r="L144" t="str">
        <f t="shared" si="4"/>
        <v>Женская обувь</v>
      </c>
      <c r="M144" t="s">
        <v>38</v>
      </c>
      <c r="N144" t="s">
        <v>39</v>
      </c>
      <c r="O144" t="str">
        <f>PROPER('[1]Основной сток'!F141)</f>
        <v>Adidas</v>
      </c>
      <c r="P144" t="str">
        <f>'[1]Основной сток'!M141</f>
        <v>Коричневый</v>
      </c>
      <c r="R144" t="s">
        <v>41</v>
      </c>
      <c r="S144" t="s">
        <v>42</v>
      </c>
      <c r="T144" t="str">
        <f t="shared" si="5"/>
        <v>Кроссовки и кеды</v>
      </c>
      <c r="U144">
        <f>'[1]Основной сток'!J141 - 1</f>
        <v>35.5</v>
      </c>
      <c r="V144" t="s">
        <v>43</v>
      </c>
      <c r="X144" t="s">
        <v>44</v>
      </c>
      <c r="Y144" t="s">
        <v>45</v>
      </c>
    </row>
    <row r="145" spans="1:25" x14ac:dyDescent="0.15">
      <c r="A145" s="6">
        <f>'[1]Основной сток'!A142</f>
        <v>1799793</v>
      </c>
      <c r="B145" t="s">
        <v>33</v>
      </c>
      <c r="D145" t="s">
        <v>34</v>
      </c>
      <c r="E145" t="s">
        <v>35</v>
      </c>
      <c r="F145" s="7" t="str">
        <f>PROPER(LEFT('[1]Основной сток'!I142,FIND(CHAR(10),'[1]Основной сток'!I142&amp;CHAR(10))-1))</f>
        <v>Nike V2K Runner Platinum Green</v>
      </c>
      <c r="G145" t="str">
        <f>F145 &amp; ", " &amp; '[1]Основной сток'!H142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сток'!J142 &amp; " / RU " &amp;
INDEX('[1]Размерная сетка'!$B$2:$B$40,MATCH('[1]Основной сток'!J142,'[1]Размерная сетка'!$A$2:$A$40,0)) &amp; " / US " &amp;
INDEX('[1]Размерная сетка'!$C$2:$C$40,MATCH('[1]Основной сток'!J142,'[1]Размерная сетка'!$A$2:$A$40,0)) &amp; " / см " &amp;
INDEX('[1]Размерная сетка'!$D$2:$D$40,MATCH('[1]Основной сток'!J142,'[1]Размерная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V2K Runner Platinum Green, FD0736-101
• В наличии в Москве
• Оригинал, можно проверить при получении
• Совершенно новые, полный комплект
• Размер: EU 36,5 / RU 35,5 / US 6 / см 22,7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45" s="8">
        <f>'[1]Основной сток'!L142</f>
        <v>22000</v>
      </c>
      <c r="I145" s="1" t="str" cm="1">
        <f t="array" ref="I145">VLOOKUP(INDEX('[1]Основной сток'!H:H,ROW()-3),[1]Фотки!A:B,2,FALSE)</f>
        <v>https://i.ibb.co/Q7qBGKZf/1-1.jpg|https://i.ibb.co/Qv72VzMb/2.jpg|https://i.ibb.co/Z1pF3VR7/3.jpg|https://i.ibb.co/Rp1HMMbm/4.jpg</v>
      </c>
      <c r="J145" t="s">
        <v>36</v>
      </c>
      <c r="K145" t="s">
        <v>37</v>
      </c>
      <c r="L145" t="str">
        <f t="shared" si="4"/>
        <v>Женская обувь</v>
      </c>
      <c r="M145" t="s">
        <v>38</v>
      </c>
      <c r="N145" t="s">
        <v>39</v>
      </c>
      <c r="O145" t="str">
        <f>PROPER('[1]Основной сток'!F142)</f>
        <v>Nike</v>
      </c>
      <c r="P145" t="str">
        <f>'[1]Основной сток'!M142</f>
        <v>Зелёный</v>
      </c>
      <c r="R145" t="s">
        <v>41</v>
      </c>
      <c r="S145" t="s">
        <v>42</v>
      </c>
      <c r="T145" t="str">
        <f t="shared" si="5"/>
        <v>Кроссовки и кеды</v>
      </c>
      <c r="U145">
        <f>'[1]Основной сток'!J142 - 1</f>
        <v>35.5</v>
      </c>
      <c r="V145" t="s">
        <v>43</v>
      </c>
      <c r="X145" t="s">
        <v>44</v>
      </c>
      <c r="Y145" t="s">
        <v>45</v>
      </c>
    </row>
    <row r="146" spans="1:25" x14ac:dyDescent="0.15">
      <c r="A146" s="6">
        <f>'[1]Основной сток'!A143</f>
        <v>1799794</v>
      </c>
      <c r="B146" t="s">
        <v>33</v>
      </c>
      <c r="D146" t="s">
        <v>34</v>
      </c>
      <c r="E146" t="s">
        <v>35</v>
      </c>
      <c r="F146" s="7" t="str">
        <f>PROPER(LEFT('[1]Основной сток'!I143,FIND(CHAR(10),'[1]Основной сток'!I143&amp;CHAR(10))-1))</f>
        <v>Nike V2K Runner Platinum Green</v>
      </c>
      <c r="G146" t="str">
        <f>F146 &amp; ", " &amp; '[1]Основной сток'!H143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сток'!J143 &amp; " / RU " &amp;
INDEX('[1]Размерная сетка'!$B$2:$B$40,MATCH('[1]Основной сток'!J143,'[1]Размерная сетка'!$A$2:$A$40,0)) &amp; " / US " &amp;
INDEX('[1]Размерная сетка'!$C$2:$C$40,MATCH('[1]Основной сток'!J143,'[1]Размерная сетка'!$A$2:$A$40,0)) &amp; " / см " &amp;
INDEX('[1]Размерная сетка'!$D$2:$D$40,MATCH('[1]Основной сток'!J143,'[1]Размерная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V2K Runner Platinum Green, FD0736-101
• В наличии в Москве
• Оригинал, можно проверить при получении
• Совершенно новые, полный комплект
• Размер: EU 37,5 / RU 36,5 / US 6,5-7 / см 23,3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46" s="8">
        <f>'[1]Основной сток'!L143</f>
        <v>22000</v>
      </c>
      <c r="I146" s="1" t="str" cm="1">
        <f t="array" ref="I146">VLOOKUP(INDEX('[1]Основной сток'!H:H,ROW()-3),[1]Фотки!A:B,2,FALSE)</f>
        <v>https://i.ibb.co/Q7qBGKZf/1-1.jpg|https://i.ibb.co/Qv72VzMb/2.jpg|https://i.ibb.co/Z1pF3VR7/3.jpg|https://i.ibb.co/Rp1HMMbm/4.jpg</v>
      </c>
      <c r="J146" t="s">
        <v>36</v>
      </c>
      <c r="K146" t="s">
        <v>37</v>
      </c>
      <c r="L146" t="str">
        <f t="shared" si="4"/>
        <v>Женская обувь</v>
      </c>
      <c r="M146" t="s">
        <v>38</v>
      </c>
      <c r="N146" t="s">
        <v>39</v>
      </c>
      <c r="O146" t="str">
        <f>PROPER('[1]Основной сток'!F143)</f>
        <v>Nike</v>
      </c>
      <c r="P146" t="str">
        <f>'[1]Основной сток'!M143</f>
        <v>Зелёный</v>
      </c>
      <c r="R146" t="s">
        <v>41</v>
      </c>
      <c r="S146" t="s">
        <v>42</v>
      </c>
      <c r="T146" t="str">
        <f t="shared" si="5"/>
        <v>Кроссовки и кеды</v>
      </c>
      <c r="U146">
        <f>'[1]Основной сток'!J143 - 1</f>
        <v>36.5</v>
      </c>
      <c r="V146" t="s">
        <v>43</v>
      </c>
      <c r="X146" t="s">
        <v>44</v>
      </c>
      <c r="Y146" t="s">
        <v>45</v>
      </c>
    </row>
    <row r="147" spans="1:25" x14ac:dyDescent="0.15">
      <c r="A147" s="6">
        <f>'[1]Основной сток'!A144</f>
        <v>1811997</v>
      </c>
      <c r="B147" t="s">
        <v>33</v>
      </c>
      <c r="D147" t="s">
        <v>34</v>
      </c>
      <c r="E147" t="s">
        <v>35</v>
      </c>
      <c r="F147" s="7" t="str">
        <f>PROPER(LEFT('[1]Основной сток'!I144,FIND(CHAR(10),'[1]Основной сток'!I144&amp;CHAR(10))-1))</f>
        <v>Air Jordan 1 Mid «Panda»</v>
      </c>
      <c r="G147" t="str">
        <f>F147 &amp; ", " &amp; '[1]Основной сток'!H144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сток'!J144 &amp; " / RU " &amp;
INDEX('[1]Размерная сетка'!$B$2:$B$40,MATCH('[1]Основной сток'!J144,'[1]Размерная сетка'!$A$2:$A$40,0)) &amp; " / US " &amp;
INDEX('[1]Размерная сетка'!$C$2:$C$40,MATCH('[1]Основной сток'!J144,'[1]Размерная сетка'!$A$2:$A$40,0)) &amp; " / см " &amp;
INDEX('[1]Размерная сетка'!$D$2:$D$40,MATCH('[1]Основной сток'!J144,'[1]Размерная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Mid «Panda», DV0991-101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47" s="8">
        <f>'[1]Основной сток'!L144</f>
        <v>16000</v>
      </c>
      <c r="I147" s="1" t="str" cm="1">
        <f t="array" ref="I147">VLOOKUP(INDEX('[1]Основной сток'!H:H,ROW()-3),[1]Фотки!A:B,2,FALSE)</f>
        <v>https://i.ibb.co/GvgPbgY2/1-1.jpg|https://i.ibb.co/k2cSytYV/2.jpg|https://i.ibb.co/67LC2bKH/3.jpg|https://i.ibb.co/wNt2PXKH/4.jpg</v>
      </c>
      <c r="J147" t="s">
        <v>36</v>
      </c>
      <c r="K147" t="s">
        <v>37</v>
      </c>
      <c r="L147" t="str">
        <f t="shared" si="4"/>
        <v>Женская обувь</v>
      </c>
      <c r="M147" t="s">
        <v>38</v>
      </c>
      <c r="N147" t="s">
        <v>39</v>
      </c>
      <c r="O147" t="str">
        <f>PROPER('[1]Основной сток'!F144)</f>
        <v>Jordan</v>
      </c>
      <c r="P147" t="str">
        <f>'[1]Основной сток'!M144</f>
        <v>Черный</v>
      </c>
      <c r="R147" t="s">
        <v>41</v>
      </c>
      <c r="S147" t="s">
        <v>42</v>
      </c>
      <c r="T147" t="str">
        <f t="shared" si="5"/>
        <v>Кроссовки и кеды</v>
      </c>
      <c r="U147">
        <f>'[1]Основной сток'!J144 - 1</f>
        <v>37</v>
      </c>
      <c r="V147" t="s">
        <v>43</v>
      </c>
      <c r="X147" t="s">
        <v>44</v>
      </c>
      <c r="Y147" t="s">
        <v>45</v>
      </c>
    </row>
    <row r="148" spans="1:25" x14ac:dyDescent="0.15">
      <c r="A148" s="6">
        <f>'[1]Основной сток'!A145</f>
        <v>1815211</v>
      </c>
      <c r="B148" t="s">
        <v>33</v>
      </c>
      <c r="D148" t="s">
        <v>34</v>
      </c>
      <c r="E148" t="s">
        <v>35</v>
      </c>
      <c r="F148" s="7" t="str">
        <f>PROPER(LEFT('[1]Основной сток'!I145,FIND(CHAR(10),'[1]Основной сток'!I145&amp;CHAR(10))-1))</f>
        <v xml:space="preserve">Wmns Adidas Samba Og Green Leather </v>
      </c>
      <c r="G148" t="str">
        <f>F148 &amp; ", " &amp; '[1]Основной сток'!H145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сток'!J145 &amp; " / RU " &amp;
INDEX('[1]Размерная сетка'!$B$2:$B$40,MATCH('[1]Основной сток'!J145,'[1]Размерная сетка'!$A$2:$A$40,0)) &amp; " / US " &amp;
INDEX('[1]Размерная сетка'!$C$2:$C$40,MATCH('[1]Основной сток'!J145,'[1]Размерная сетка'!$A$2:$A$40,0)) &amp; " / см " &amp;
INDEX('[1]Размерная сетка'!$D$2:$D$40,MATCH('[1]Основной сток'!J145,'[1]Размерная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Wmns Adidas Samba Og Green Leather , IE0872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48" s="8">
        <f>'[1]Основной сток'!L145</f>
        <v>24000</v>
      </c>
      <c r="I148" s="1" t="str" cm="1">
        <f t="array" ref="I148">VLOOKUP(INDEX('[1]Основной сток'!H:H,ROW()-3),[1]Фотки!A:B,2,FALSE)</f>
        <v>https://i.ibb.co/8DZMwD1M/1.jpg|https://i.ibb.co/q3nQZm3s/2.jpg|https://i.ibb.co/RGVGfQHV/3.jpg|https://i.ibb.co/8LGGGr95/4.jpg</v>
      </c>
      <c r="J148" t="s">
        <v>36</v>
      </c>
      <c r="K148" t="s">
        <v>37</v>
      </c>
      <c r="L148" t="str">
        <f t="shared" si="4"/>
        <v>Женская обувь</v>
      </c>
      <c r="M148" t="s">
        <v>38</v>
      </c>
      <c r="N148" t="s">
        <v>39</v>
      </c>
      <c r="O148" t="str">
        <f>PROPER('[1]Основной сток'!F145)</f>
        <v>Adidas</v>
      </c>
      <c r="P148" t="str">
        <f>'[1]Основной сток'!M145</f>
        <v>Зелёный</v>
      </c>
      <c r="R148" t="s">
        <v>41</v>
      </c>
      <c r="S148" t="s">
        <v>42</v>
      </c>
      <c r="T148" t="str">
        <f t="shared" si="5"/>
        <v>Кроссовки и кеды</v>
      </c>
      <c r="U148">
        <f>'[1]Основной сток'!J145 - 1</f>
        <v>37.5</v>
      </c>
      <c r="V148" t="s">
        <v>43</v>
      </c>
      <c r="X148" t="s">
        <v>44</v>
      </c>
      <c r="Y148" t="s">
        <v>45</v>
      </c>
    </row>
    <row r="149" spans="1:25" x14ac:dyDescent="0.15">
      <c r="A149" s="6">
        <f>'[1]Основной сток'!A146</f>
        <v>1815213</v>
      </c>
      <c r="B149" t="s">
        <v>33</v>
      </c>
      <c r="D149" t="s">
        <v>34</v>
      </c>
      <c r="E149" t="s">
        <v>35</v>
      </c>
      <c r="F149" s="7" t="str">
        <f>PROPER(LEFT('[1]Основной сток'!I146,FIND(CHAR(10),'[1]Основной сток'!I146&amp;CHAR(10))-1))</f>
        <v xml:space="preserve">Wmns Adidas Samba Og Green Leather </v>
      </c>
      <c r="G149" t="str">
        <f>F149 &amp; ", " &amp; '[1]Основной сток'!H146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сток'!J146 &amp; " / RU " &amp;
INDEX('[1]Размерная сетка'!$B$2:$B$40,MATCH('[1]Основной сток'!J146,'[1]Размерная сетка'!$A$2:$A$40,0)) &amp; " / US " &amp;
INDEX('[1]Размерная сетка'!$C$2:$C$40,MATCH('[1]Основной сток'!J146,'[1]Размерная сетка'!$A$2:$A$40,0)) &amp; " / см " &amp;
INDEX('[1]Размерная сетка'!$D$2:$D$40,MATCH('[1]Основной сток'!J146,'[1]Размерная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Wmns Adidas Samba Og Green Leather , IE0872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49" s="8">
        <f>'[1]Основной сток'!L146</f>
        <v>24000</v>
      </c>
      <c r="I149" s="1" t="str" cm="1">
        <f t="array" ref="I149">VLOOKUP(INDEX('[1]Основной сток'!H:H,ROW()-3),[1]Фотки!A:B,2,FALSE)</f>
        <v>https://i.ibb.co/8DZMwD1M/1.jpg|https://i.ibb.co/q3nQZm3s/2.jpg|https://i.ibb.co/RGVGfQHV/3.jpg|https://i.ibb.co/8LGGGr95/4.jpg</v>
      </c>
      <c r="J149" t="s">
        <v>36</v>
      </c>
      <c r="K149" t="s">
        <v>37</v>
      </c>
      <c r="L149" t="str">
        <f t="shared" si="4"/>
        <v>Женская обувь</v>
      </c>
      <c r="M149" t="s">
        <v>38</v>
      </c>
      <c r="N149" t="s">
        <v>39</v>
      </c>
      <c r="O149" t="str">
        <f>PROPER('[1]Основной сток'!F146)</f>
        <v>Adidas</v>
      </c>
      <c r="P149" t="str">
        <f>'[1]Основной сток'!M146</f>
        <v>Зелёный</v>
      </c>
      <c r="R149" t="s">
        <v>41</v>
      </c>
      <c r="S149" t="s">
        <v>42</v>
      </c>
      <c r="T149" t="str">
        <f t="shared" si="5"/>
        <v>Кроссовки и кеды</v>
      </c>
      <c r="U149">
        <f>'[1]Основной сток'!J146 - 1</f>
        <v>38</v>
      </c>
      <c r="V149" t="s">
        <v>43</v>
      </c>
      <c r="X149" t="s">
        <v>44</v>
      </c>
      <c r="Y149" t="s">
        <v>45</v>
      </c>
    </row>
    <row r="150" spans="1:25" x14ac:dyDescent="0.15">
      <c r="A150" s="6">
        <f>'[1]Основной сток'!A147</f>
        <v>1822144</v>
      </c>
      <c r="B150" t="s">
        <v>33</v>
      </c>
      <c r="D150" t="s">
        <v>34</v>
      </c>
      <c r="E150" t="s">
        <v>35</v>
      </c>
      <c r="F150" s="7" t="str">
        <f>PROPER(LEFT('[1]Основной сток'!I147,FIND(CHAR(10),'[1]Основной сток'!I147&amp;CHAR(10))-1))</f>
        <v>Adidas Samba Adv Black</v>
      </c>
      <c r="G150" t="str">
        <f>F150 &amp; ", " &amp; '[1]Основной сток'!H147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сток'!J147 &amp; " / RU " &amp;
INDEX('[1]Размерная сетка'!$B$2:$B$40,MATCH('[1]Основной сток'!J147,'[1]Размерная сетка'!$A$2:$A$40,0)) &amp; " / US " &amp;
INDEX('[1]Размерная сетка'!$C$2:$C$40,MATCH('[1]Основной сток'!J147,'[1]Размерная сетка'!$A$2:$A$40,0)) &amp; " / см " &amp;
INDEX('[1]Размерная сетка'!$D$2:$D$40,MATCH('[1]Основной сток'!J147,'[1]Размерная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Adv Black, B75807 (ADV)
• В наличии в Москве
• Оригинал, можно проверить при получении
• Совершенно новые, полный комплект
• Размер: EU 37 / RU 36 / US 6,5 / см 23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50" s="8">
        <f>'[1]Основной сток'!L147</f>
        <v>19900</v>
      </c>
      <c r="I150" s="1" t="str" cm="1">
        <f t="array" ref="I150">VLOOKUP(INDEX('[1]Основной сток'!H:H,ROW()-3),[1]Фотки!A:B,2,FALSE)</f>
        <v>https://i.ibb.co/SXN64GYs/images.jpg</v>
      </c>
      <c r="J150" t="s">
        <v>36</v>
      </c>
      <c r="K150" t="s">
        <v>37</v>
      </c>
      <c r="L150" t="str">
        <f t="shared" si="4"/>
        <v>Женская обувь</v>
      </c>
      <c r="M150" t="s">
        <v>38</v>
      </c>
      <c r="N150" t="s">
        <v>39</v>
      </c>
      <c r="O150" t="str">
        <f>PROPER('[1]Основной сток'!F147)</f>
        <v>Adidas</v>
      </c>
      <c r="P150" t="str">
        <f>'[1]Основной сток'!M147</f>
        <v>Черный</v>
      </c>
      <c r="R150" t="s">
        <v>41</v>
      </c>
      <c r="S150" t="s">
        <v>42</v>
      </c>
      <c r="T150" t="str">
        <f t="shared" si="5"/>
        <v>Кроссовки и кеды</v>
      </c>
      <c r="U150">
        <f>'[1]Основной сток'!J147 - 1</f>
        <v>36</v>
      </c>
      <c r="V150" t="s">
        <v>43</v>
      </c>
      <c r="X150" t="s">
        <v>44</v>
      </c>
      <c r="Y150" t="s">
        <v>45</v>
      </c>
    </row>
    <row r="151" spans="1:25" x14ac:dyDescent="0.15">
      <c r="A151" s="6">
        <f>'[1]Основной сток'!A148</f>
        <v>1822146</v>
      </c>
      <c r="B151" t="s">
        <v>33</v>
      </c>
      <c r="D151" t="s">
        <v>34</v>
      </c>
      <c r="E151" t="s">
        <v>35</v>
      </c>
      <c r="F151" s="7" t="str">
        <f>PROPER(LEFT('[1]Основной сток'!I148,FIND(CHAR(10),'[1]Основной сток'!I148&amp;CHAR(10))-1))</f>
        <v>Adidas Samba Adv Black</v>
      </c>
      <c r="G151" t="str">
        <f>F151 &amp; ", " &amp; '[1]Основной сток'!H148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сток'!J148 &amp; " / RU " &amp;
INDEX('[1]Размерная сетка'!$B$2:$B$40,MATCH('[1]Основной сток'!J148,'[1]Размерная сетка'!$A$2:$A$40,0)) &amp; " / US " &amp;
INDEX('[1]Размерная сетка'!$C$2:$C$40,MATCH('[1]Основной сток'!J148,'[1]Размерная сетка'!$A$2:$A$40,0)) &amp; " / см " &amp;
INDEX('[1]Размерная сетка'!$D$2:$D$40,MATCH('[1]Основной сток'!J148,'[1]Размерная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Adv Black, B75807 (ADV)
• В наличии в Москве
• Оригинал, можно проверить при получении
• Совершенно новые, полный комплект
• Размер: EU 43 / RU 42 / US 9,5 / см 27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51" s="8">
        <f>'[1]Основной сток'!L148</f>
        <v>19900</v>
      </c>
      <c r="I151" s="1" t="str" cm="1">
        <f t="array" ref="I151">VLOOKUP(INDEX('[1]Основной сток'!H:H,ROW()-3),[1]Фотки!A:B,2,FALSE)</f>
        <v>https://i.ibb.co/SXN64GYs/images.jpg</v>
      </c>
      <c r="J151" t="s">
        <v>36</v>
      </c>
      <c r="K151" t="s">
        <v>37</v>
      </c>
      <c r="L151" t="str">
        <f t="shared" si="4"/>
        <v>Мужская обувь</v>
      </c>
      <c r="M151" t="s">
        <v>38</v>
      </c>
      <c r="N151" t="s">
        <v>39</v>
      </c>
      <c r="O151" t="str">
        <f>PROPER('[1]Основной сток'!F148)</f>
        <v>Adidas</v>
      </c>
      <c r="P151" t="str">
        <f>'[1]Основной сток'!M148</f>
        <v>Черный</v>
      </c>
      <c r="R151" t="s">
        <v>41</v>
      </c>
      <c r="S151" t="s">
        <v>42</v>
      </c>
      <c r="T151" t="str">
        <f t="shared" si="5"/>
        <v>Кроссовки</v>
      </c>
      <c r="U151">
        <f>'[1]Основной сток'!J148 - 1</f>
        <v>42</v>
      </c>
      <c r="V151" t="s">
        <v>43</v>
      </c>
      <c r="X151" t="s">
        <v>44</v>
      </c>
      <c r="Y151" t="s">
        <v>45</v>
      </c>
    </row>
    <row r="152" spans="1:25" x14ac:dyDescent="0.15">
      <c r="A152" s="6">
        <f>'[1]Основной сток'!A149</f>
        <v>1900338</v>
      </c>
      <c r="B152" t="s">
        <v>33</v>
      </c>
      <c r="D152" t="s">
        <v>34</v>
      </c>
      <c r="E152" t="s">
        <v>35</v>
      </c>
      <c r="F152" s="7" t="str">
        <f>PROPER(LEFT('[1]Основной сток'!I149,FIND(CHAR(10),'[1]Основной сток'!I149&amp;CHAR(10))-1))</f>
        <v>Samba Og Burgundy</v>
      </c>
      <c r="G152" t="str">
        <f>F152 &amp; ", " &amp; '[1]Основной сток'!H149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сток'!J149 &amp; " / RU " &amp;
INDEX('[1]Размерная сетка'!$B$2:$B$40,MATCH('[1]Основной сток'!J149,'[1]Размерная сетка'!$A$2:$A$40,0)) &amp; " / US " &amp;
INDEX('[1]Размерная сетка'!$C$2:$C$40,MATCH('[1]Основной сток'!J149,'[1]Размерная сетка'!$A$2:$A$40,0)) &amp; " / см " &amp;
INDEX('[1]Размерная сетка'!$D$2:$D$40,MATCH('[1]Основной сток'!J149,'[1]Размерная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Samba Og Burgundy, IF3813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52" s="8">
        <f>'[1]Основной сток'!L149</f>
        <v>23500</v>
      </c>
      <c r="I152" s="1" t="str" cm="1">
        <f t="array" ref="I152">VLOOKUP(INDEX('[1]Основной сток'!H:H,ROW()-3),[1]Фотки!A:B,2,FALSE)</f>
        <v>https://i.ibb.co/3yfgdfd2/1.jpg|https://i.ibb.co/jsSSW0m/2.jpg|https://i.ibb.co/fVHBYNLJ/3.jpg|https://i.ibb.co/zWdfTyXP/4.jpg</v>
      </c>
      <c r="J152" t="s">
        <v>36</v>
      </c>
      <c r="K152" t="s">
        <v>37</v>
      </c>
      <c r="L152" t="str">
        <f t="shared" si="4"/>
        <v>Женская обувь</v>
      </c>
      <c r="M152" t="s">
        <v>38</v>
      </c>
      <c r="N152" t="s">
        <v>39</v>
      </c>
      <c r="O152" t="str">
        <f>PROPER('[1]Основной сток'!F149)</f>
        <v>Adidas</v>
      </c>
      <c r="P152" t="str">
        <f>'[1]Основной сток'!M149</f>
        <v>Белый</v>
      </c>
      <c r="R152" t="s">
        <v>41</v>
      </c>
      <c r="S152" t="s">
        <v>42</v>
      </c>
      <c r="T152" t="str">
        <f t="shared" si="5"/>
        <v>Кроссовки и кеды</v>
      </c>
      <c r="U152">
        <f>'[1]Основной сток'!J149 - 1</f>
        <v>37.5</v>
      </c>
      <c r="V152" t="s">
        <v>43</v>
      </c>
      <c r="X152" t="s">
        <v>44</v>
      </c>
      <c r="Y152" t="s">
        <v>45</v>
      </c>
    </row>
    <row r="153" spans="1:25" x14ac:dyDescent="0.15">
      <c r="A153" s="6">
        <f>'[1]Основной сток'!A150</f>
        <v>1900339</v>
      </c>
      <c r="B153" t="s">
        <v>33</v>
      </c>
      <c r="D153" t="s">
        <v>34</v>
      </c>
      <c r="E153" t="s">
        <v>35</v>
      </c>
      <c r="F153" s="7" t="str">
        <f>PROPER(LEFT('[1]Основной сток'!I150,FIND(CHAR(10),'[1]Основной сток'!I150&amp;CHAR(10))-1))</f>
        <v>Samba Og Burgundy</v>
      </c>
      <c r="G153" t="str">
        <f>F153 &amp; ", " &amp; '[1]Основной сток'!H150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сток'!J150 &amp; " / RU " &amp;
INDEX('[1]Размерная сетка'!$B$2:$B$40,MATCH('[1]Основной сток'!J150,'[1]Размерная сетка'!$A$2:$A$40,0)) &amp; " / US " &amp;
INDEX('[1]Размерная сетка'!$C$2:$C$40,MATCH('[1]Основной сток'!J150,'[1]Размерная сетка'!$A$2:$A$40,0)) &amp; " / см " &amp;
INDEX('[1]Размерная сетка'!$D$2:$D$40,MATCH('[1]Основной сток'!J150,'[1]Размерная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Samba Og Burgundy, IF3813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53" s="8">
        <f>'[1]Основной сток'!L150</f>
        <v>23500</v>
      </c>
      <c r="I153" s="1" t="str" cm="1">
        <f t="array" ref="I153">VLOOKUP(INDEX('[1]Основной сток'!H:H,ROW()-3),[1]Фотки!A:B,2,FALSE)</f>
        <v>https://i.ibb.co/3yfgdfd2/1.jpg|https://i.ibb.co/jsSSW0m/2.jpg|https://i.ibb.co/fVHBYNLJ/3.jpg|https://i.ibb.co/zWdfTyXP/4.jpg</v>
      </c>
      <c r="J153" t="s">
        <v>36</v>
      </c>
      <c r="K153" t="s">
        <v>37</v>
      </c>
      <c r="L153" t="str">
        <f t="shared" si="4"/>
        <v>Женская обувь</v>
      </c>
      <c r="M153" t="s">
        <v>38</v>
      </c>
      <c r="N153" t="s">
        <v>39</v>
      </c>
      <c r="O153" t="str">
        <f>PROPER('[1]Основной сток'!F150)</f>
        <v>Adidas</v>
      </c>
      <c r="P153" t="str">
        <f>'[1]Основной сток'!M150</f>
        <v>Белый</v>
      </c>
      <c r="R153" t="s">
        <v>41</v>
      </c>
      <c r="S153" t="s">
        <v>42</v>
      </c>
      <c r="T153" t="str">
        <f t="shared" si="5"/>
        <v>Кроссовки и кеды</v>
      </c>
      <c r="U153">
        <f>'[1]Основной сток'!J150 - 1</f>
        <v>37</v>
      </c>
      <c r="V153" t="s">
        <v>43</v>
      </c>
      <c r="X153" t="s">
        <v>44</v>
      </c>
      <c r="Y153" t="s">
        <v>45</v>
      </c>
    </row>
    <row r="154" spans="1:25" x14ac:dyDescent="0.15">
      <c r="A154" s="6">
        <f>'[1]Основной сток'!A151</f>
        <v>1901259</v>
      </c>
      <c r="B154" t="s">
        <v>33</v>
      </c>
      <c r="D154" t="s">
        <v>34</v>
      </c>
      <c r="E154" t="s">
        <v>35</v>
      </c>
      <c r="F154" s="7" t="str">
        <f>PROPER(LEFT('[1]Основной сток'!I151,FIND(CHAR(10),'[1]Основной сток'!I151&amp;CHAR(10))-1))</f>
        <v>Adidas Samba Og “White Green”</v>
      </c>
      <c r="G154" t="str">
        <f>F154 &amp; ", " &amp; '[1]Основной сток'!H151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сток'!J151 &amp; " / RU " &amp;
INDEX('[1]Размерная сетка'!$B$2:$B$40,MATCH('[1]Основной сток'!J151,'[1]Размерная сетка'!$A$2:$A$40,0)) &amp; " / US " &amp;
INDEX('[1]Размерная сетка'!$C$2:$C$40,MATCH('[1]Основной сток'!J151,'[1]Размерная сетка'!$A$2:$A$40,0)) &amp; " / см " &amp;
INDEX('[1]Размерная сетка'!$D$2:$D$40,MATCH('[1]Основной сток'!J151,'[1]Размерная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Og “White Green”, IG1024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54" s="8">
        <f>'[1]Основной сток'!L151</f>
        <v>18000</v>
      </c>
      <c r="I154" s="1" t="str" cm="1">
        <f t="array" ref="I154">VLOOKUP(INDEX('[1]Основной сток'!H:H,ROW()-3),[1]Фотки!A:B,2,FALSE)</f>
        <v>https://i.ibb.co/M4C7wvF/1-1.jpg|https://i.ibb.co/MDkJvnKs/2.jpg|https://i.ibb.co/5h81CF5t/3.jpg|https://i.ibb.co/GyHVGDf/4.jpg</v>
      </c>
      <c r="J154" t="s">
        <v>36</v>
      </c>
      <c r="K154" t="s">
        <v>37</v>
      </c>
      <c r="L154" t="str">
        <f t="shared" si="4"/>
        <v>Женская обувь</v>
      </c>
      <c r="M154" t="s">
        <v>38</v>
      </c>
      <c r="N154" t="s">
        <v>39</v>
      </c>
      <c r="O154" t="str">
        <f>PROPER('[1]Основной сток'!F151)</f>
        <v>Adidas</v>
      </c>
      <c r="P154" t="str">
        <f>'[1]Основной сток'!M151</f>
        <v>Зелёный</v>
      </c>
      <c r="R154" t="s">
        <v>41</v>
      </c>
      <c r="S154" t="s">
        <v>42</v>
      </c>
      <c r="T154" t="str">
        <f t="shared" si="5"/>
        <v>Кроссовки и кеды</v>
      </c>
      <c r="U154">
        <f>'[1]Основной сток'!J151 - 1</f>
        <v>37</v>
      </c>
      <c r="V154" t="s">
        <v>43</v>
      </c>
      <c r="X154" t="s">
        <v>44</v>
      </c>
      <c r="Y154" t="s">
        <v>45</v>
      </c>
    </row>
    <row r="155" spans="1:25" x14ac:dyDescent="0.15">
      <c r="A155" s="6">
        <f>'[1]Основной сток'!A152</f>
        <v>1912631</v>
      </c>
      <c r="B155" t="s">
        <v>33</v>
      </c>
      <c r="D155" t="s">
        <v>34</v>
      </c>
      <c r="E155" t="s">
        <v>35</v>
      </c>
      <c r="F155" s="7" t="str">
        <f>PROPER(LEFT('[1]Основной сток'!I152,FIND(CHAR(10),'[1]Основной сток'!I152&amp;CHAR(10))-1))</f>
        <v>Nike Dunk Low «Brown And Sail»</v>
      </c>
      <c r="G155" t="str">
        <f>F155 &amp; ", " &amp; '[1]Основной сток'!H152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сток'!J152 &amp; " / RU " &amp;
INDEX('[1]Размерная сетка'!$B$2:$B$40,MATCH('[1]Основной сток'!J152,'[1]Размерная сетка'!$A$2:$A$40,0)) &amp; " / US " &amp;
INDEX('[1]Размерная сетка'!$C$2:$C$40,MATCH('[1]Основной сток'!J152,'[1]Размерная сетка'!$A$2:$A$40,0)) &amp; " / см " &amp;
INDEX('[1]Размерная сетка'!$D$2:$D$40,MATCH('[1]Основной сток'!J152,'[1]Размерная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«Brown And Sail», DD1503-124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55" s="8">
        <f>'[1]Основной сток'!L152</f>
        <v>19000</v>
      </c>
      <c r="I155" s="1" t="str" cm="1">
        <f t="array" ref="I155">VLOOKUP(INDEX('[1]Основной сток'!H:H,ROW()-3),[1]Фотки!A:B,2,FALSE)</f>
        <v>https://i.ibb.co/8gq2wpYT/1-1.jpg|https://i.ibb.co/8gbB5K42/2.jpg|https://i.ibb.co/mV1rWYzD/3.jpg|https://i.ibb.co/3Y4gtdmc/4.jpg</v>
      </c>
      <c r="J155" t="s">
        <v>36</v>
      </c>
      <c r="K155" t="s">
        <v>37</v>
      </c>
      <c r="L155" t="str">
        <f t="shared" si="4"/>
        <v>Женская обувь</v>
      </c>
      <c r="M155" t="s">
        <v>38</v>
      </c>
      <c r="N155" t="s">
        <v>39</v>
      </c>
      <c r="O155" t="str">
        <f>PROPER('[1]Основной сток'!F152)</f>
        <v>Nike</v>
      </c>
      <c r="P155" t="str">
        <f>'[1]Основной сток'!M152</f>
        <v>Коричневый</v>
      </c>
      <c r="R155" t="s">
        <v>41</v>
      </c>
      <c r="S155" t="s">
        <v>42</v>
      </c>
      <c r="T155" t="str">
        <f t="shared" si="5"/>
        <v>Кроссовки и кеды</v>
      </c>
      <c r="U155">
        <f>'[1]Основной сток'!J152 - 1</f>
        <v>37</v>
      </c>
      <c r="V155" t="s">
        <v>43</v>
      </c>
      <c r="X155" t="s">
        <v>44</v>
      </c>
      <c r="Y155" t="s">
        <v>45</v>
      </c>
    </row>
    <row r="156" spans="1:25" x14ac:dyDescent="0.15">
      <c r="A156" s="6">
        <f>'[1]Основной сток'!A153</f>
        <v>1914985</v>
      </c>
      <c r="B156" t="s">
        <v>33</v>
      </c>
      <c r="D156" t="s">
        <v>34</v>
      </c>
      <c r="E156" t="s">
        <v>35</v>
      </c>
      <c r="F156" s="7" t="str">
        <f>PROPER(LEFT('[1]Основной сток'!I153,FIND(CHAR(10),'[1]Основной сток'!I153&amp;CHAR(10))-1))</f>
        <v>Adidas Samba Og “Collegiate Green Gum”</v>
      </c>
      <c r="G156" t="str">
        <f>F156 &amp; ", " &amp; '[1]Основной сток'!H153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сток'!J153 &amp; " / RU " &amp;
INDEX('[1]Размерная сетка'!$B$2:$B$40,MATCH('[1]Основной сток'!J153,'[1]Размерная сетка'!$A$2:$A$40,0)) &amp; " / US " &amp;
INDEX('[1]Размерная сетка'!$C$2:$C$40,MATCH('[1]Основной сток'!J153,'[1]Размерная сетка'!$A$2:$A$40,0)) &amp; " / см " &amp;
INDEX('[1]Размерная сетка'!$D$2:$D$40,MATCH('[1]Основной сток'!J153,'[1]Размерная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Og “Collegiate Green Gum”, ID2054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56" s="8">
        <f>'[1]Основной сток'!L153</f>
        <v>18000</v>
      </c>
      <c r="I156" s="1" t="str" cm="1">
        <f t="array" ref="I156">VLOOKUP(INDEX('[1]Основной сток'!H:H,ROW()-3),[1]Фотки!A:B,2,FALSE)</f>
        <v>https://i.ibb.co/xKYFb6XZ/1-1.jpg|https://i.ibb.co/mr13qDPD/2.jpg|https://i.ibb.co/r25y5gRX/3.jpg|https://i.ibb.co/C5S93jKG/4.jpg</v>
      </c>
      <c r="J156" t="s">
        <v>36</v>
      </c>
      <c r="K156" t="s">
        <v>37</v>
      </c>
      <c r="L156" t="str">
        <f t="shared" si="4"/>
        <v>Женская обувь</v>
      </c>
      <c r="M156" t="s">
        <v>38</v>
      </c>
      <c r="N156" t="s">
        <v>39</v>
      </c>
      <c r="O156" t="str">
        <f>PROPER('[1]Основной сток'!F153)</f>
        <v>Adidas</v>
      </c>
      <c r="P156" t="str">
        <f>'[1]Основной сток'!M153</f>
        <v>Зелёный</v>
      </c>
      <c r="R156" t="s">
        <v>41</v>
      </c>
      <c r="S156" t="s">
        <v>42</v>
      </c>
      <c r="T156" t="str">
        <f t="shared" si="5"/>
        <v>Кроссовки и кеды</v>
      </c>
      <c r="U156">
        <f>'[1]Основной сток'!J153 - 1</f>
        <v>39</v>
      </c>
      <c r="V156" t="s">
        <v>43</v>
      </c>
      <c r="X156" t="s">
        <v>44</v>
      </c>
      <c r="Y156" t="s">
        <v>45</v>
      </c>
    </row>
    <row r="157" spans="1:25" x14ac:dyDescent="0.15">
      <c r="A157" s="6">
        <f>'[1]Основной сток'!A154</f>
        <v>1914988</v>
      </c>
      <c r="B157" t="s">
        <v>33</v>
      </c>
      <c r="D157" t="s">
        <v>34</v>
      </c>
      <c r="E157" t="s">
        <v>35</v>
      </c>
      <c r="F157" s="7" t="str">
        <f>PROPER(LEFT('[1]Основной сток'!I154,FIND(CHAR(10),'[1]Основной сток'!I154&amp;CHAR(10))-1))</f>
        <v>Adidas Y-3 Gazelle White</v>
      </c>
      <c r="G157" t="str">
        <f>F157 &amp; ", " &amp; '[1]Основной сток'!H154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сток'!J154 &amp; " / RU " &amp;
INDEX('[1]Размерная сетка'!$B$2:$B$40,MATCH('[1]Основной сток'!J154,'[1]Размерная сетка'!$A$2:$A$40,0)) &amp; " / US " &amp;
INDEX('[1]Размерная сетка'!$C$2:$C$40,MATCH('[1]Основной сток'!J154,'[1]Размерная сетка'!$A$2:$A$40,0)) &amp; " / см " &amp;
INDEX('[1]Размерная сетка'!$D$2:$D$40,MATCH('[1]Основной сток'!J154,'[1]Размерная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Y-3 Gazelle White, FZ6404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57" s="8">
        <f>'[1]Основной сток'!L154</f>
        <v>24840</v>
      </c>
      <c r="I157" s="1" t="str" cm="1">
        <f t="array" ref="I157">VLOOKUP(INDEX('[1]Основной сток'!H:H,ROW()-3),[1]Фотки!A:B,2,FALSE)</f>
        <v>https://i.ibb.co/bj03qHFL/1.jpg</v>
      </c>
      <c r="J157" t="s">
        <v>36</v>
      </c>
      <c r="K157" t="s">
        <v>37</v>
      </c>
      <c r="L157" t="str">
        <f t="shared" si="4"/>
        <v>Женская обувь</v>
      </c>
      <c r="M157" t="s">
        <v>38</v>
      </c>
      <c r="N157" t="s">
        <v>39</v>
      </c>
      <c r="O157" t="str">
        <f>PROPER('[1]Основной сток'!F154)</f>
        <v>Adidas</v>
      </c>
      <c r="P157" t="str">
        <f>'[1]Основной сток'!M154</f>
        <v>Белый</v>
      </c>
      <c r="R157" t="s">
        <v>41</v>
      </c>
      <c r="S157" t="s">
        <v>42</v>
      </c>
      <c r="T157" t="str">
        <f t="shared" si="5"/>
        <v>Кроссовки и кеды</v>
      </c>
      <c r="U157">
        <f>'[1]Основной сток'!J154 - 1</f>
        <v>37.5</v>
      </c>
      <c r="V157" t="s">
        <v>43</v>
      </c>
      <c r="X157" t="s">
        <v>44</v>
      </c>
      <c r="Y157" t="s">
        <v>45</v>
      </c>
    </row>
    <row r="158" spans="1:25" x14ac:dyDescent="0.15">
      <c r="A158" s="6">
        <f>'[1]Основной сток'!A155</f>
        <v>1914991</v>
      </c>
      <c r="B158" t="s">
        <v>33</v>
      </c>
      <c r="D158" t="s">
        <v>34</v>
      </c>
      <c r="E158" t="s">
        <v>35</v>
      </c>
      <c r="F158" s="7" t="str">
        <f>PROPER(LEFT('[1]Основной сток'!I155,FIND(CHAR(10),'[1]Основной сток'!I155&amp;CHAR(10))-1))</f>
        <v>Wmns Gazelle Indoor 'Blue Fusion Gum'</v>
      </c>
      <c r="G158" t="str">
        <f>F158 &amp; ", " &amp; '[1]Основной сток'!H155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сток'!J155 &amp; " / RU " &amp;
INDEX('[1]Размерная сетка'!$B$2:$B$40,MATCH('[1]Основной сток'!J155,'[1]Размерная сетка'!$A$2:$A$40,0)) &amp; " / US " &amp;
INDEX('[1]Размерная сетка'!$C$2:$C$40,MATCH('[1]Основной сток'!J155,'[1]Размерная сетка'!$A$2:$A$40,0)) &amp; " / см " &amp;
INDEX('[1]Размерная сетка'!$D$2:$D$40,MATCH('[1]Основной сток'!J155,'[1]Размерная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Wmns Gazelle Indoor 'Blue Fusion Gum', HQ8717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58" s="8">
        <f>'[1]Основной сток'!L155</f>
        <v>25000</v>
      </c>
      <c r="I158" s="1" t="str" cm="1">
        <f t="array" ref="I158">VLOOKUP(INDEX('[1]Основной сток'!H:H,ROW()-3),[1]Фотки!A:B,2,FALSE)</f>
        <v>https://i.ibb.co/JFc2h5Zn/1-1.jpg|https://i.ibb.co/SDmRQjX6/2.jpg|https://i.ibb.co/ksVq1r5Q/3.jpg|https://i.ibb.co/pjmvBGCw/4.jpg</v>
      </c>
      <c r="J158" t="s">
        <v>36</v>
      </c>
      <c r="K158" t="s">
        <v>37</v>
      </c>
      <c r="L158" t="str">
        <f t="shared" si="4"/>
        <v>Женская обувь</v>
      </c>
      <c r="M158" t="s">
        <v>38</v>
      </c>
      <c r="N158" t="s">
        <v>39</v>
      </c>
      <c r="O158" t="str">
        <f>PROPER('[1]Основной сток'!F155)</f>
        <v>Adidas</v>
      </c>
      <c r="P158" t="str">
        <f>'[1]Основной сток'!M155</f>
        <v>Голубой</v>
      </c>
      <c r="R158" t="s">
        <v>41</v>
      </c>
      <c r="S158" t="s">
        <v>42</v>
      </c>
      <c r="T158" t="str">
        <f t="shared" si="5"/>
        <v>Кроссовки и кеды</v>
      </c>
      <c r="U158">
        <f>'[1]Основной сток'!J155 - 1</f>
        <v>37.5</v>
      </c>
      <c r="V158" t="s">
        <v>43</v>
      </c>
      <c r="X158" t="s">
        <v>44</v>
      </c>
      <c r="Y158" t="s">
        <v>45</v>
      </c>
    </row>
    <row r="159" spans="1:25" x14ac:dyDescent="0.15">
      <c r="A159" s="6">
        <f>'[1]Основной сток'!A156</f>
        <v>1914994</v>
      </c>
      <c r="B159" t="s">
        <v>33</v>
      </c>
      <c r="D159" t="s">
        <v>34</v>
      </c>
      <c r="E159" t="s">
        <v>35</v>
      </c>
      <c r="F159" s="7" t="str">
        <f>PROPER(LEFT('[1]Основной сток'!I156,FIND(CHAR(10),'[1]Основной сток'!I156&amp;CHAR(10))-1))</f>
        <v>Wmns Gazelle Indoor 'Blue Fusion Gum'</v>
      </c>
      <c r="G159" t="str">
        <f>F159 &amp; ", " &amp; '[1]Основной сток'!H156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сток'!J156 &amp; " / RU " &amp;
INDEX('[1]Размерная сетка'!$B$2:$B$40,MATCH('[1]Основной сток'!J156,'[1]Размерная сетка'!$A$2:$A$40,0)) &amp; " / US " &amp;
INDEX('[1]Размерная сетка'!$C$2:$C$40,MATCH('[1]Основной сток'!J156,'[1]Размерная сетка'!$A$2:$A$40,0)) &amp; " / см " &amp;
INDEX('[1]Размерная сетка'!$D$2:$D$40,MATCH('[1]Основной сток'!J156,'[1]Размерная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Wmns Gazelle Indoor 'Blue Fusion Gum', HQ8717
• В наличии в Москве
• Оригинал, можно проверить при получении
• Совершенно новые, полный комплект
• Размер: EU 40,5 / RU 39,5 / US 9 / см 25,3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59" s="8">
        <f>'[1]Основной сток'!L156</f>
        <v>25000</v>
      </c>
      <c r="I159" s="1" t="str" cm="1">
        <f t="array" ref="I159">VLOOKUP(INDEX('[1]Основной сток'!H:H,ROW()-3),[1]Фотки!A:B,2,FALSE)</f>
        <v>https://i.ibb.co/JFc2h5Zn/1-1.jpg|https://i.ibb.co/SDmRQjX6/2.jpg|https://i.ibb.co/ksVq1r5Q/3.jpg|https://i.ibb.co/pjmvBGCw/4.jpg</v>
      </c>
      <c r="J159" t="s">
        <v>36</v>
      </c>
      <c r="K159" t="s">
        <v>37</v>
      </c>
      <c r="L159" t="str">
        <f t="shared" si="4"/>
        <v>Женская обувь</v>
      </c>
      <c r="M159" t="s">
        <v>38</v>
      </c>
      <c r="N159" t="s">
        <v>39</v>
      </c>
      <c r="O159" t="str">
        <f>PROPER('[1]Основной сток'!F156)</f>
        <v>Adidas</v>
      </c>
      <c r="P159" t="str">
        <f>'[1]Основной сток'!M156</f>
        <v>Голубой</v>
      </c>
      <c r="R159" t="s">
        <v>41</v>
      </c>
      <c r="S159" t="s">
        <v>42</v>
      </c>
      <c r="T159" t="str">
        <f t="shared" si="5"/>
        <v>Кроссовки и кеды</v>
      </c>
      <c r="U159">
        <f>'[1]Основной сток'!J156 - 1</f>
        <v>39.5</v>
      </c>
      <c r="V159" t="s">
        <v>43</v>
      </c>
      <c r="X159" t="s">
        <v>44</v>
      </c>
      <c r="Y159" t="s">
        <v>45</v>
      </c>
    </row>
    <row r="160" spans="1:25" x14ac:dyDescent="0.15">
      <c r="A160" s="6">
        <f>'[1]Основной сток'!A157</f>
        <v>1914995</v>
      </c>
      <c r="B160" t="s">
        <v>33</v>
      </c>
      <c r="D160" t="s">
        <v>34</v>
      </c>
      <c r="E160" t="s">
        <v>35</v>
      </c>
      <c r="F160" s="7" t="str">
        <f>PROPER(LEFT('[1]Основной сток'!I157,FIND(CHAR(10),'[1]Основной сток'!I157&amp;CHAR(10))-1))</f>
        <v>Foot Industry X Gazelle Indoor 'Off White Green'</v>
      </c>
      <c r="G160" t="str">
        <f>F160 &amp; ", " &amp; '[1]Основной сток'!H157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сток'!J157 &amp; " / RU " &amp;
INDEX('[1]Размерная сетка'!$B$2:$B$40,MATCH('[1]Основной сток'!J157,'[1]Размерная сетка'!$A$2:$A$40,0)) &amp; " / US " &amp;
INDEX('[1]Размерная сетка'!$C$2:$C$40,MATCH('[1]Основной сток'!J157,'[1]Размерная сетка'!$A$2:$A$40,0)) &amp; " / см " &amp;
INDEX('[1]Размерная сетка'!$D$2:$D$40,MATCH('[1]Основной сток'!J157,'[1]Размерная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Foot Industry X Gazelle Indoor 'Off White Green', ID3518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60" s="8">
        <f>'[1]Основной сток'!L157</f>
        <v>25000</v>
      </c>
      <c r="I160" s="1" t="str" cm="1">
        <f t="array" ref="I160">VLOOKUP(INDEX('[1]Основной сток'!H:H,ROW()-3),[1]Фотки!A:B,2,FALSE)</f>
        <v>https://i.ibb.co/gMCCN4rS/1.jpg|https://i.ibb.co/TMqLThc0/2.jpg|https://i.ibb.co/ymKTZnN9/3.jpg|https://i.ibb.co/3mk8KKsJ/4.jpg</v>
      </c>
      <c r="J160" t="s">
        <v>36</v>
      </c>
      <c r="K160" t="s">
        <v>37</v>
      </c>
      <c r="L160" t="str">
        <f t="shared" si="4"/>
        <v>Женская обувь</v>
      </c>
      <c r="M160" t="s">
        <v>38</v>
      </c>
      <c r="N160" t="s">
        <v>39</v>
      </c>
      <c r="O160" t="str">
        <f>PROPER('[1]Основной сток'!F157)</f>
        <v>Adidas</v>
      </c>
      <c r="P160" t="str">
        <f>'[1]Основной сток'!M157</f>
        <v>Зелёный</v>
      </c>
      <c r="R160" t="s">
        <v>41</v>
      </c>
      <c r="S160" t="s">
        <v>42</v>
      </c>
      <c r="T160" t="str">
        <f t="shared" si="5"/>
        <v>Кроссовки и кеды</v>
      </c>
      <c r="U160">
        <f>'[1]Основной сток'!J157 - 1</f>
        <v>37</v>
      </c>
      <c r="V160" t="s">
        <v>43</v>
      </c>
      <c r="X160" t="s">
        <v>44</v>
      </c>
      <c r="Y160" t="s">
        <v>45</v>
      </c>
    </row>
    <row r="161" spans="1:25" x14ac:dyDescent="0.15">
      <c r="A161" s="6">
        <f>'[1]Основной сток'!A158</f>
        <v>1915001</v>
      </c>
      <c r="B161" t="s">
        <v>33</v>
      </c>
      <c r="D161" t="s">
        <v>34</v>
      </c>
      <c r="E161" t="s">
        <v>35</v>
      </c>
      <c r="F161" s="7" t="str">
        <f>PROPER(LEFT('[1]Основной сток'!I158,FIND(CHAR(10),'[1]Основной сток'!I158&amp;CHAR(10))-1))</f>
        <v>Foot Industry X Gazelle Indoor 'Off White Green'</v>
      </c>
      <c r="G161" t="str">
        <f>F161 &amp; ", " &amp; '[1]Основной сток'!H158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сток'!J158 &amp; " / RU " &amp;
INDEX('[1]Размерная сетка'!$B$2:$B$40,MATCH('[1]Основной сток'!J158,'[1]Размерная сетка'!$A$2:$A$40,0)) &amp; " / US " &amp;
INDEX('[1]Размерная сетка'!$C$2:$C$40,MATCH('[1]Основной сток'!J158,'[1]Размерная сетка'!$A$2:$A$40,0)) &amp; " / см " &amp;
INDEX('[1]Размерная сетка'!$D$2:$D$40,MATCH('[1]Основной сток'!J158,'[1]Размерная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Foot Industry X Gazelle Indoor 'Off White Green', ID3518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61" s="8">
        <f>'[1]Основной сток'!L158</f>
        <v>25000</v>
      </c>
      <c r="I161" s="1" t="str" cm="1">
        <f t="array" ref="I161">VLOOKUP(INDEX('[1]Основной сток'!H:H,ROW()-3),[1]Фотки!A:B,2,FALSE)</f>
        <v>https://i.ibb.co/gMCCN4rS/1.jpg|https://i.ibb.co/TMqLThc0/2.jpg|https://i.ibb.co/ymKTZnN9/3.jpg|https://i.ibb.co/3mk8KKsJ/4.jpg</v>
      </c>
      <c r="J161" t="s">
        <v>36</v>
      </c>
      <c r="K161" t="s">
        <v>37</v>
      </c>
      <c r="L161" t="str">
        <f t="shared" si="4"/>
        <v>Женская обувь</v>
      </c>
      <c r="M161" t="s">
        <v>38</v>
      </c>
      <c r="N161" t="s">
        <v>39</v>
      </c>
      <c r="O161" t="str">
        <f>PROPER('[1]Основной сток'!F158)</f>
        <v>Adidas</v>
      </c>
      <c r="P161" t="str">
        <f>'[1]Основной сток'!M158</f>
        <v>Зелёный</v>
      </c>
      <c r="R161" t="s">
        <v>41</v>
      </c>
      <c r="S161" t="s">
        <v>42</v>
      </c>
      <c r="T161" t="str">
        <f t="shared" si="5"/>
        <v>Кроссовки и кеды</v>
      </c>
      <c r="U161">
        <f>'[1]Основной сток'!J158 - 1</f>
        <v>38</v>
      </c>
      <c r="V161" t="s">
        <v>43</v>
      </c>
      <c r="X161" t="s">
        <v>44</v>
      </c>
      <c r="Y161" t="s">
        <v>45</v>
      </c>
    </row>
    <row r="162" spans="1:25" x14ac:dyDescent="0.15">
      <c r="A162" s="6">
        <f>'[1]Основной сток'!A159</f>
        <v>1915003</v>
      </c>
      <c r="B162" t="s">
        <v>33</v>
      </c>
      <c r="D162" t="s">
        <v>34</v>
      </c>
      <c r="E162" t="s">
        <v>35</v>
      </c>
      <c r="F162" s="7" t="str">
        <f>PROPER(LEFT('[1]Основной сток'!I159,FIND(CHAR(10),'[1]Основной сток'!I159&amp;CHAR(10))-1))</f>
        <v>Foot Industry X Gazelle Indoor 'Off White Green'</v>
      </c>
      <c r="G162" t="str">
        <f>F162 &amp; ", " &amp; '[1]Основной сток'!H159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сток'!J159 &amp; " / RU " &amp;
INDEX('[1]Размерная сетка'!$B$2:$B$40,MATCH('[1]Основной сток'!J159,'[1]Размерная сетка'!$A$2:$A$40,0)) &amp; " / US " &amp;
INDEX('[1]Размерная сетка'!$C$2:$C$40,MATCH('[1]Основной сток'!J159,'[1]Размерная сетка'!$A$2:$A$40,0)) &amp; " / см " &amp;
INDEX('[1]Размерная сетка'!$D$2:$D$40,MATCH('[1]Основной сток'!J159,'[1]Размерная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Foot Industry X Gazelle Indoor 'Off White Green', ID3518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62" s="8">
        <f>'[1]Основной сток'!L159</f>
        <v>25000</v>
      </c>
      <c r="I162" s="1" t="str" cm="1">
        <f t="array" ref="I162">VLOOKUP(INDEX('[1]Основной сток'!H:H,ROW()-3),[1]Фотки!A:B,2,FALSE)</f>
        <v>https://i.ibb.co/gMCCN4rS/1.jpg|https://i.ibb.co/TMqLThc0/2.jpg|https://i.ibb.co/ymKTZnN9/3.jpg|https://i.ibb.co/3mk8KKsJ/4.jpg</v>
      </c>
      <c r="J162" t="s">
        <v>36</v>
      </c>
      <c r="K162" t="s">
        <v>37</v>
      </c>
      <c r="L162" t="str">
        <f t="shared" si="4"/>
        <v>Женская обувь</v>
      </c>
      <c r="M162" t="s">
        <v>38</v>
      </c>
      <c r="N162" t="s">
        <v>39</v>
      </c>
      <c r="O162" t="str">
        <f>PROPER('[1]Основной сток'!F159)</f>
        <v>Adidas</v>
      </c>
      <c r="P162" t="str">
        <f>'[1]Основной сток'!M159</f>
        <v>Зелёный</v>
      </c>
      <c r="R162" t="s">
        <v>41</v>
      </c>
      <c r="S162" t="s">
        <v>42</v>
      </c>
      <c r="T162" t="str">
        <f t="shared" si="5"/>
        <v>Кроссовки и кеды</v>
      </c>
      <c r="U162">
        <f>'[1]Основной сток'!J159 - 1</f>
        <v>39</v>
      </c>
      <c r="V162" t="s">
        <v>43</v>
      </c>
      <c r="X162" t="s">
        <v>44</v>
      </c>
      <c r="Y162" t="s">
        <v>45</v>
      </c>
    </row>
    <row r="163" spans="1:25" x14ac:dyDescent="0.15">
      <c r="A163" s="6">
        <f>'[1]Основной сток'!A160</f>
        <v>1915004</v>
      </c>
      <c r="B163" t="s">
        <v>33</v>
      </c>
      <c r="D163" t="s">
        <v>34</v>
      </c>
      <c r="E163" t="s">
        <v>35</v>
      </c>
      <c r="F163" s="7" t="str">
        <f>PROPER(LEFT('[1]Основной сток'!I160,FIND(CHAR(10),'[1]Основной сток'!I160&amp;CHAR(10))-1))</f>
        <v>Samba Og 'White Collegiate Green Gum'</v>
      </c>
      <c r="G163" t="str">
        <f>F163 &amp; ", " &amp; '[1]Основной сток'!H160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сток'!J160 &amp; " / RU " &amp;
INDEX('[1]Размерная сетка'!$B$2:$B$40,MATCH('[1]Основной сток'!J160,'[1]Размерная сетка'!$A$2:$A$40,0)) &amp; " / US " &amp;
INDEX('[1]Размерная сетка'!$C$2:$C$40,MATCH('[1]Основной сток'!J160,'[1]Размерная сетка'!$A$2:$A$40,0)) &amp; " / см " &amp;
INDEX('[1]Размерная сетка'!$D$2:$D$40,MATCH('[1]Основной сток'!J160,'[1]Размерная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Samba Og 'White Collegiate Green Gum', IE3437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63" s="8">
        <f>'[1]Основной сток'!L160</f>
        <v>20000</v>
      </c>
      <c r="I163" s="1" t="str" cm="1">
        <f t="array" ref="I163">VLOOKUP(INDEX('[1]Основной сток'!H:H,ROW()-3),[1]Фотки!A:B,2,FALSE)</f>
        <v>https://i.ibb.co/qLCZH5m3/1-1.jpg|https://i.ibb.co/35xbXP5M/2.jpg|https://i.ibb.co/4ZZzDHZv/3.jpg|https://i.ibb.co/qbhTNYp/4.jpg</v>
      </c>
      <c r="J163" t="s">
        <v>36</v>
      </c>
      <c r="K163" t="s">
        <v>37</v>
      </c>
      <c r="L163" t="str">
        <f t="shared" si="4"/>
        <v>Женская обувь</v>
      </c>
      <c r="M163" t="s">
        <v>38</v>
      </c>
      <c r="N163" t="s">
        <v>39</v>
      </c>
      <c r="O163" t="str">
        <f>PROPER('[1]Основной сток'!F160)</f>
        <v>Adidas</v>
      </c>
      <c r="P163" t="str">
        <f>'[1]Основной сток'!M160</f>
        <v>Зелёный</v>
      </c>
      <c r="R163" t="s">
        <v>41</v>
      </c>
      <c r="S163" t="s">
        <v>42</v>
      </c>
      <c r="T163" t="str">
        <f t="shared" si="5"/>
        <v>Кроссовки и кеды</v>
      </c>
      <c r="U163">
        <f>'[1]Основной сток'!J160 - 1</f>
        <v>37</v>
      </c>
      <c r="V163" t="s">
        <v>43</v>
      </c>
      <c r="X163" t="s">
        <v>44</v>
      </c>
      <c r="Y163" t="s">
        <v>45</v>
      </c>
    </row>
    <row r="164" spans="1:25" x14ac:dyDescent="0.15">
      <c r="A164" s="6">
        <f>'[1]Основной сток'!A161</f>
        <v>1915005</v>
      </c>
      <c r="B164" t="s">
        <v>33</v>
      </c>
      <c r="D164" t="s">
        <v>34</v>
      </c>
      <c r="E164" t="s">
        <v>35</v>
      </c>
      <c r="F164" s="7" t="str">
        <f>PROPER(LEFT('[1]Основной сток'!I161,FIND(CHAR(10),'[1]Основной сток'!I161&amp;CHAR(10))-1))</f>
        <v>Samba Og 'White Collegiate Green Gum'</v>
      </c>
      <c r="G164" t="str">
        <f>F164 &amp; ", " &amp; '[1]Основной сток'!H161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сток'!J161 &amp; " / RU " &amp;
INDEX('[1]Размерная сетка'!$B$2:$B$40,MATCH('[1]Основной сток'!J161,'[1]Размерная сетка'!$A$2:$A$40,0)) &amp; " / US " &amp;
INDEX('[1]Размерная сетка'!$C$2:$C$40,MATCH('[1]Основной сток'!J161,'[1]Размерная сетка'!$A$2:$A$40,0)) &amp; " / см " &amp;
INDEX('[1]Размерная сетка'!$D$2:$D$40,MATCH('[1]Основной сток'!J161,'[1]Размерная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Samba Og 'White Collegiate Green Gum', IE3437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64" s="8">
        <f>'[1]Основной сток'!L161</f>
        <v>20000</v>
      </c>
      <c r="I164" s="1" t="str" cm="1">
        <f t="array" ref="I164">VLOOKUP(INDEX('[1]Основной сток'!H:H,ROW()-3),[1]Фотки!A:B,2,FALSE)</f>
        <v>https://i.ibb.co/qLCZH5m3/1-1.jpg|https://i.ibb.co/35xbXP5M/2.jpg|https://i.ibb.co/4ZZzDHZv/3.jpg|https://i.ibb.co/qbhTNYp/4.jpg</v>
      </c>
      <c r="J164" t="s">
        <v>36</v>
      </c>
      <c r="K164" t="s">
        <v>37</v>
      </c>
      <c r="L164" t="str">
        <f t="shared" si="4"/>
        <v>Женская обувь</v>
      </c>
      <c r="M164" t="s">
        <v>38</v>
      </c>
      <c r="N164" t="s">
        <v>39</v>
      </c>
      <c r="O164" t="str">
        <f>PROPER('[1]Основной сток'!F161)</f>
        <v>Adidas</v>
      </c>
      <c r="P164" t="str">
        <f>'[1]Основной сток'!M161</f>
        <v>Зелёный</v>
      </c>
      <c r="R164" t="s">
        <v>41</v>
      </c>
      <c r="S164" t="s">
        <v>42</v>
      </c>
      <c r="T164" t="str">
        <f t="shared" si="5"/>
        <v>Кроссовки и кеды</v>
      </c>
      <c r="U164">
        <f>'[1]Основной сток'!J161 - 1</f>
        <v>37.5</v>
      </c>
      <c r="V164" t="s">
        <v>43</v>
      </c>
      <c r="X164" t="s">
        <v>44</v>
      </c>
      <c r="Y164" t="s">
        <v>45</v>
      </c>
    </row>
    <row r="165" spans="1:25" x14ac:dyDescent="0.15">
      <c r="A165" s="6">
        <f>'[1]Основной сток'!A162</f>
        <v>1915008</v>
      </c>
      <c r="B165" t="s">
        <v>33</v>
      </c>
      <c r="D165" t="s">
        <v>34</v>
      </c>
      <c r="E165" t="s">
        <v>35</v>
      </c>
      <c r="F165" s="7" t="str">
        <f>PROPER(LEFT('[1]Основной сток'!I162,FIND(CHAR(10),'[1]Основной сток'!I162&amp;CHAR(10))-1))</f>
        <v>Adidas Gazelle «Collegiate Green Pink»</v>
      </c>
      <c r="G165" t="str">
        <f>F165 &amp; ", " &amp; '[1]Основной сток'!H162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сток'!J162 &amp; " / RU " &amp;
INDEX('[1]Размерная сетка'!$B$2:$B$40,MATCH('[1]Основной сток'!J162,'[1]Размерная сетка'!$A$2:$A$40,0)) &amp; " / US " &amp;
INDEX('[1]Размерная сетка'!$C$2:$C$40,MATCH('[1]Основной сток'!J162,'[1]Размерная сетка'!$A$2:$A$40,0)) &amp; " / см " &amp;
INDEX('[1]Размерная сетка'!$D$2:$D$40,MATCH('[1]Основной сток'!J162,'[1]Размерная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«Collegiate Green Pink», IG5929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65" s="8">
        <f>'[1]Основной сток'!L162</f>
        <v>24000</v>
      </c>
      <c r="I165" s="1" t="str" cm="1">
        <f t="array" ref="I165">VLOOKUP(INDEX('[1]Основной сток'!H:H,ROW()-3),[1]Фотки!A:B,2,FALSE)</f>
        <v>https://i.ibb.co/1tS80vWw/1.jpg|https://i.ibb.co/FqWSN2sx/2.jpg|https://i.ibb.co/3V0whNk/3.jpg|https://i.ibb.co/zCwbRGP/4.jpg</v>
      </c>
      <c r="J165" t="s">
        <v>36</v>
      </c>
      <c r="K165" t="s">
        <v>37</v>
      </c>
      <c r="L165" t="str">
        <f t="shared" si="4"/>
        <v>Женская обувь</v>
      </c>
      <c r="M165" t="s">
        <v>38</v>
      </c>
      <c r="N165" t="s">
        <v>39</v>
      </c>
      <c r="O165" t="str">
        <f>PROPER('[1]Основной сток'!F162)</f>
        <v>Adidas</v>
      </c>
      <c r="P165" t="str">
        <f>'[1]Основной сток'!M162</f>
        <v>Зелёный</v>
      </c>
      <c r="R165" t="s">
        <v>41</v>
      </c>
      <c r="S165" t="s">
        <v>42</v>
      </c>
      <c r="T165" t="str">
        <f t="shared" si="5"/>
        <v>Кроссовки и кеды</v>
      </c>
      <c r="U165">
        <f>'[1]Основной сток'!J162 - 1</f>
        <v>37.5</v>
      </c>
      <c r="V165" t="s">
        <v>43</v>
      </c>
      <c r="X165" t="s">
        <v>44</v>
      </c>
      <c r="Y165" t="s">
        <v>45</v>
      </c>
    </row>
    <row r="166" spans="1:25" x14ac:dyDescent="0.15">
      <c r="A166" s="6">
        <f>'[1]Основной сток'!A163</f>
        <v>1915009</v>
      </c>
      <c r="B166" t="s">
        <v>33</v>
      </c>
      <c r="D166" t="s">
        <v>34</v>
      </c>
      <c r="E166" t="s">
        <v>35</v>
      </c>
      <c r="F166" s="7" t="str">
        <f>PROPER(LEFT('[1]Основной сток'!I163,FIND(CHAR(10),'[1]Основной сток'!I163&amp;CHAR(10))-1))</f>
        <v>Adidas Gazelle «Collegiate Green Pink»</v>
      </c>
      <c r="G166" t="str">
        <f>F166 &amp; ", " &amp; '[1]Основной сток'!H163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сток'!J163 &amp; " / RU " &amp;
INDEX('[1]Размерная сетка'!$B$2:$B$40,MATCH('[1]Основной сток'!J163,'[1]Размерная сетка'!$A$2:$A$40,0)) &amp; " / US " &amp;
INDEX('[1]Размерная сетка'!$C$2:$C$40,MATCH('[1]Основной сток'!J163,'[1]Размерная сетка'!$A$2:$A$40,0)) &amp; " / см " &amp;
INDEX('[1]Размерная сетка'!$D$2:$D$40,MATCH('[1]Основной сток'!J163,'[1]Размерная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«Collegiate Green Pink», IG5929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66" s="8">
        <f>'[1]Основной сток'!L163</f>
        <v>24000</v>
      </c>
      <c r="I166" s="1" t="str" cm="1">
        <f t="array" ref="I166">VLOOKUP(INDEX('[1]Основной сток'!H:H,ROW()-3),[1]Фотки!A:B,2,FALSE)</f>
        <v>https://i.ibb.co/1tS80vWw/1.jpg|https://i.ibb.co/FqWSN2sx/2.jpg|https://i.ibb.co/3V0whNk/3.jpg|https://i.ibb.co/zCwbRGP/4.jpg</v>
      </c>
      <c r="J166" t="s">
        <v>36</v>
      </c>
      <c r="K166" t="s">
        <v>37</v>
      </c>
      <c r="L166" t="str">
        <f t="shared" si="4"/>
        <v>Женская обувь</v>
      </c>
      <c r="M166" t="s">
        <v>38</v>
      </c>
      <c r="N166" t="s">
        <v>39</v>
      </c>
      <c r="O166" t="str">
        <f>PROPER('[1]Основной сток'!F163)</f>
        <v>Adidas</v>
      </c>
      <c r="P166" t="str">
        <f>'[1]Основной сток'!M163</f>
        <v>Зелёный</v>
      </c>
      <c r="R166" t="s">
        <v>41</v>
      </c>
      <c r="S166" t="s">
        <v>42</v>
      </c>
      <c r="T166" t="str">
        <f t="shared" si="5"/>
        <v>Кроссовки и кеды</v>
      </c>
      <c r="U166">
        <f>'[1]Основной сток'!J163 - 1</f>
        <v>38</v>
      </c>
      <c r="V166" t="s">
        <v>43</v>
      </c>
      <c r="X166" t="s">
        <v>44</v>
      </c>
      <c r="Y166" t="s">
        <v>45</v>
      </c>
    </row>
    <row r="167" spans="1:25" x14ac:dyDescent="0.15">
      <c r="A167" s="6">
        <f>'[1]Основной сток'!A164</f>
        <v>1915031</v>
      </c>
      <c r="B167" t="s">
        <v>33</v>
      </c>
      <c r="D167" t="s">
        <v>34</v>
      </c>
      <c r="E167" t="s">
        <v>35</v>
      </c>
      <c r="F167" s="7" t="str">
        <f>PROPER(LEFT('[1]Основной сток'!I164,FIND(CHAR(10),'[1]Основной сток'!I164&amp;CHAR(10))-1))</f>
        <v>New Balance 2002R Protection Pack «Phantom»</v>
      </c>
      <c r="G167" t="str">
        <f>F167 &amp; ", " &amp; '[1]Основной сток'!H164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сток'!J164 &amp; " / RU " &amp;
INDEX('[1]Размерная сетка'!$B$2:$B$40,MATCH('[1]Основной сток'!J164,'[1]Размерная сетка'!$A$2:$A$40,0)) &amp; " / US " &amp;
INDEX('[1]Размерная сетка'!$C$2:$C$40,MATCH('[1]Основной сток'!J164,'[1]Размерная сетка'!$A$2:$A$40,0)) &amp; " / см " &amp;
INDEX('[1]Размерная сетка'!$D$2:$D$40,MATCH('[1]Основной сток'!J164,'[1]Размерная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2002R Protection Pack «Phantom», M2002RDB
• В наличии в Москве
• Оригинал, можно проверить при получении
• Совершенно новые, полный комплект
• Размер: EU 37,5 / RU 36,5 / US 6,5-7 / см 23,3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67" s="8">
        <f>'[1]Основной сток'!L164</f>
        <v>35000</v>
      </c>
      <c r="I167" s="1" t="str" cm="1">
        <f t="array" ref="I167">VLOOKUP(INDEX('[1]Основной сток'!H:H,ROW()-3),[1]Фотки!A:B,2,FALSE)</f>
        <v>https://i.ibb.co/DgRQygs6/1.jpg|https://i.ibb.co/k62FWtrg/2.jpg|https://i.ibb.co/yFsn61fZ/3.jpg|https://i.ibb.co/TQ5p1jJ/4.jpg</v>
      </c>
      <c r="J167" t="s">
        <v>36</v>
      </c>
      <c r="K167" t="s">
        <v>37</v>
      </c>
      <c r="L167" t="str">
        <f t="shared" si="4"/>
        <v>Женская обувь</v>
      </c>
      <c r="M167" t="s">
        <v>38</v>
      </c>
      <c r="N167" t="s">
        <v>39</v>
      </c>
      <c r="O167" t="str">
        <f>PROPER('[1]Основной сток'!F164)</f>
        <v>New Balance</v>
      </c>
      <c r="P167" t="str">
        <f>'[1]Основной сток'!M164</f>
        <v>Черный</v>
      </c>
      <c r="R167" t="s">
        <v>41</v>
      </c>
      <c r="S167" t="s">
        <v>42</v>
      </c>
      <c r="T167" t="str">
        <f t="shared" si="5"/>
        <v>Кроссовки и кеды</v>
      </c>
      <c r="U167">
        <f>'[1]Основной сток'!J164 - 1</f>
        <v>36.5</v>
      </c>
      <c r="V167" t="s">
        <v>43</v>
      </c>
      <c r="X167" t="s">
        <v>44</v>
      </c>
      <c r="Y167" t="s">
        <v>45</v>
      </c>
    </row>
    <row r="168" spans="1:25" x14ac:dyDescent="0.15">
      <c r="A168" s="6">
        <f>'[1]Основной сток'!A165</f>
        <v>1915034</v>
      </c>
      <c r="B168" t="s">
        <v>33</v>
      </c>
      <c r="D168" t="s">
        <v>34</v>
      </c>
      <c r="E168" t="s">
        <v>35</v>
      </c>
      <c r="F168" s="7" t="str">
        <f>PROPER(LEFT('[1]Основной сток'!I165,FIND(CHAR(10),'[1]Основной сток'!I165&amp;CHAR(10))-1))</f>
        <v>New Balance 2002R Protection Pack «Phantom»</v>
      </c>
      <c r="G168" t="str">
        <f>F168 &amp; ", " &amp; '[1]Основной сток'!H165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сток'!J165 &amp; " / RU " &amp;
INDEX('[1]Размерная сетка'!$B$2:$B$40,MATCH('[1]Основной сток'!J165,'[1]Размерная сетка'!$A$2:$A$40,0)) &amp; " / US " &amp;
INDEX('[1]Размерная сетка'!$C$2:$C$40,MATCH('[1]Основной сток'!J165,'[1]Размерная сетка'!$A$2:$A$40,0)) &amp; " / см " &amp;
INDEX('[1]Размерная сетка'!$D$2:$D$40,MATCH('[1]Основной сток'!J165,'[1]Размерная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2002R Protection Pack «Phantom», M2002RDB
• В наличии в Москве
• Оригинал, можно проверить при получении
• Совершенно новые, полный комплект
• Размер: EU 40,5 / RU 39,5 / US 9 / см 25,3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68" s="8">
        <f>'[1]Основной сток'!L165</f>
        <v>35000</v>
      </c>
      <c r="I168" s="1" t="str" cm="1">
        <f t="array" ref="I168">VLOOKUP(INDEX('[1]Основной сток'!H:H,ROW()-3),[1]Фотки!A:B,2,FALSE)</f>
        <v>https://i.ibb.co/DgRQygs6/1.jpg|https://i.ibb.co/k62FWtrg/2.jpg|https://i.ibb.co/yFsn61fZ/3.jpg|https://i.ibb.co/TQ5p1jJ/4.jpg</v>
      </c>
      <c r="J168" t="s">
        <v>36</v>
      </c>
      <c r="K168" t="s">
        <v>37</v>
      </c>
      <c r="L168" t="str">
        <f t="shared" si="4"/>
        <v>Женская обувь</v>
      </c>
      <c r="M168" t="s">
        <v>38</v>
      </c>
      <c r="N168" t="s">
        <v>39</v>
      </c>
      <c r="O168" t="str">
        <f>PROPER('[1]Основной сток'!F165)</f>
        <v>New Balance</v>
      </c>
      <c r="P168" t="str">
        <f>'[1]Основной сток'!M165</f>
        <v>Черный</v>
      </c>
      <c r="R168" t="s">
        <v>41</v>
      </c>
      <c r="S168" t="s">
        <v>42</v>
      </c>
      <c r="T168" t="str">
        <f t="shared" si="5"/>
        <v>Кроссовки и кеды</v>
      </c>
      <c r="U168">
        <f>'[1]Основной сток'!J165 - 1</f>
        <v>39.5</v>
      </c>
      <c r="V168" t="s">
        <v>43</v>
      </c>
      <c r="X168" t="s">
        <v>44</v>
      </c>
      <c r="Y168" t="s">
        <v>45</v>
      </c>
    </row>
    <row r="169" spans="1:25" x14ac:dyDescent="0.15">
      <c r="A169" s="6">
        <f>'[1]Основной сток'!A166</f>
        <v>1915044</v>
      </c>
      <c r="B169" t="s">
        <v>33</v>
      </c>
      <c r="D169" t="s">
        <v>34</v>
      </c>
      <c r="E169" t="s">
        <v>35</v>
      </c>
      <c r="F169" s="7" t="str">
        <f>PROPER(LEFT('[1]Основной сток'!I166,FIND(CHAR(10),'[1]Основной сток'!I166&amp;CHAR(10))-1))</f>
        <v xml:space="preserve">New Balance 1906R Refined Future Black </v>
      </c>
      <c r="G169" t="str">
        <f>F169 &amp; ", " &amp; '[1]Основной сток'!H166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сток'!J166 &amp; " / RU " &amp;
INDEX('[1]Размерная сетка'!$B$2:$B$40,MATCH('[1]Основной сток'!J166,'[1]Размерная сетка'!$A$2:$A$40,0)) &amp; " / US " &amp;
INDEX('[1]Размерная сетка'!$C$2:$C$40,MATCH('[1]Основной сток'!J166,'[1]Размерная сетка'!$A$2:$A$40,0)) &amp; " / см " &amp;
INDEX('[1]Размерная сетка'!$D$2:$D$40,MATCH('[1]Основной сток'!J166,'[1]Размерная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1906R Refined Future Black , M1906DF
• В наличии в Москве
• Оригинал, можно проверить при получении
• Совершенно новые, полный комплект
• Размер: EU 39,5 / RU 38,5 / US 8-8,5 / см 24,7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69" s="8">
        <f>'[1]Основной сток'!L166</f>
        <v>23900</v>
      </c>
      <c r="I169" s="1" t="str" cm="1">
        <f t="array" ref="I169">VLOOKUP(INDEX('[1]Основной сток'!H:H,ROW()-3),[1]Фотки!A:B,2,FALSE)</f>
        <v>https://i.ibb.co/ynsj5nbN/1-1.jpg|https://i.ibb.co/h12fcv40/2.jpg|https://i.ibb.co/WvyzQ1Gz/3.jpg|https://i.ibb.co/xSKqvWps/4.jpg</v>
      </c>
      <c r="J169" t="s">
        <v>36</v>
      </c>
      <c r="K169" t="s">
        <v>37</v>
      </c>
      <c r="L169" t="str">
        <f t="shared" si="4"/>
        <v>Женская обувь</v>
      </c>
      <c r="M169" t="s">
        <v>38</v>
      </c>
      <c r="N169" t="s">
        <v>39</v>
      </c>
      <c r="O169" t="str">
        <f>PROPER('[1]Основной сток'!F166)</f>
        <v>New Balance</v>
      </c>
      <c r="P169" t="str">
        <f>'[1]Основной сток'!M166</f>
        <v>Черный</v>
      </c>
      <c r="R169" t="s">
        <v>41</v>
      </c>
      <c r="S169" t="s">
        <v>42</v>
      </c>
      <c r="T169" t="str">
        <f t="shared" si="5"/>
        <v>Кроссовки и кеды</v>
      </c>
      <c r="U169">
        <f>'[1]Основной сток'!J166 - 1</f>
        <v>38.5</v>
      </c>
      <c r="V169" t="s">
        <v>43</v>
      </c>
      <c r="X169" t="s">
        <v>44</v>
      </c>
      <c r="Y169" t="s">
        <v>45</v>
      </c>
    </row>
    <row r="170" spans="1:25" x14ac:dyDescent="0.15">
      <c r="A170" s="6">
        <f>'[1]Основной сток'!A167</f>
        <v>1915047</v>
      </c>
      <c r="B170" t="s">
        <v>33</v>
      </c>
      <c r="D170" t="s">
        <v>34</v>
      </c>
      <c r="E170" t="s">
        <v>35</v>
      </c>
      <c r="F170" s="7" t="str">
        <f>PROPER(LEFT('[1]Основной сток'!I167,FIND(CHAR(10),'[1]Основной сток'!I167&amp;CHAR(10))-1))</f>
        <v>Adidas Gazelle «Collegiate Green Pink»</v>
      </c>
      <c r="G170" t="str">
        <f>F170 &amp; ", " &amp; '[1]Основной сток'!H167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сток'!J167 &amp; " / RU " &amp;
INDEX('[1]Размерная сетка'!$B$2:$B$40,MATCH('[1]Основной сток'!J167,'[1]Размерная сетка'!$A$2:$A$40,0)) &amp; " / US " &amp;
INDEX('[1]Размерная сетка'!$C$2:$C$40,MATCH('[1]Основной сток'!J167,'[1]Размерная сетка'!$A$2:$A$40,0)) &amp; " / см " &amp;
INDEX('[1]Размерная сетка'!$D$2:$D$40,MATCH('[1]Основной сток'!J167,'[1]Размерная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«Collegiate Green Pink», IG5929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70" s="8">
        <f>'[1]Основной сток'!L167</f>
        <v>24000</v>
      </c>
      <c r="I170" s="1" t="str" cm="1">
        <f t="array" ref="I170">VLOOKUP(INDEX('[1]Основной сток'!H:H,ROW()-3),[1]Фотки!A:B,2,FALSE)</f>
        <v>https://i.ibb.co/1tS80vWw/1.jpg|https://i.ibb.co/FqWSN2sx/2.jpg|https://i.ibb.co/3V0whNk/3.jpg|https://i.ibb.co/zCwbRGP/4.jpg</v>
      </c>
      <c r="J170" t="s">
        <v>36</v>
      </c>
      <c r="K170" t="s">
        <v>37</v>
      </c>
      <c r="L170" t="str">
        <f t="shared" si="4"/>
        <v>Женская обувь</v>
      </c>
      <c r="M170" t="s">
        <v>38</v>
      </c>
      <c r="N170" t="s">
        <v>39</v>
      </c>
      <c r="O170" t="str">
        <f>PROPER('[1]Основной сток'!F167)</f>
        <v>Adidas</v>
      </c>
      <c r="P170" t="str">
        <f>'[1]Основной сток'!M167</f>
        <v>Зелёный</v>
      </c>
      <c r="R170" t="s">
        <v>41</v>
      </c>
      <c r="S170" t="s">
        <v>42</v>
      </c>
      <c r="T170" t="str">
        <f t="shared" si="5"/>
        <v>Кроссовки и кеды</v>
      </c>
      <c r="U170">
        <f>'[1]Основной сток'!J167 - 1</f>
        <v>39</v>
      </c>
      <c r="V170" t="s">
        <v>43</v>
      </c>
      <c r="X170" t="s">
        <v>44</v>
      </c>
      <c r="Y170" t="s">
        <v>45</v>
      </c>
    </row>
    <row r="171" spans="1:25" x14ac:dyDescent="0.15">
      <c r="A171" s="6">
        <f>'[1]Основной сток'!A168</f>
        <v>1915050</v>
      </c>
      <c r="B171" t="s">
        <v>33</v>
      </c>
      <c r="D171" t="s">
        <v>34</v>
      </c>
      <c r="E171" t="s">
        <v>35</v>
      </c>
      <c r="F171" s="7" t="str">
        <f>PROPER(LEFT('[1]Основной сток'!I168,FIND(CHAR(10),'[1]Основной сток'!I168&amp;CHAR(10))-1))</f>
        <v>Adidas Gazelle «Bliss Pink Purple»</v>
      </c>
      <c r="G171" t="str">
        <f>F171 &amp; ", " &amp; '[1]Основной сток'!H168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сток'!J168 &amp; " / RU " &amp;
INDEX('[1]Размерная сетка'!$B$2:$B$40,MATCH('[1]Основной сток'!J168,'[1]Размерная сетка'!$A$2:$A$40,0)) &amp; " / US " &amp;
INDEX('[1]Размерная сетка'!$C$2:$C$40,MATCH('[1]Основной сток'!J168,'[1]Размерная сетка'!$A$2:$A$40,0)) &amp; " / см " &amp;
INDEX('[1]Размерная сетка'!$D$2:$D$40,MATCH('[1]Основной сток'!J168,'[1]Размерная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«Bliss Pink Purple», IE7002
• В наличии в Москве
• Оригинал, можно проверить при получении
• Совершенно новые, полный комплект
• Размер: EU 37 / RU 36 / US 6,5 / см 23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71" s="8">
        <f>'[1]Основной сток'!L168</f>
        <v>24000</v>
      </c>
      <c r="I171" s="1" t="str" cm="1">
        <f t="array" ref="I171">VLOOKUP(INDEX('[1]Основной сток'!H:H,ROW()-3),[1]Фотки!A:B,2,FALSE)</f>
        <v>https://i.ibb.co/XrmBVZfg/1.jpg|https://i.ibb.co/F4tFSCsM/2.jpg|https://i.ibb.co/7x2rn3TV/3.jpg|https://i.ibb.co/8D5KXGZt/4.jpg</v>
      </c>
      <c r="J171" t="s">
        <v>36</v>
      </c>
      <c r="K171" t="s">
        <v>37</v>
      </c>
      <c r="L171" t="str">
        <f t="shared" si="4"/>
        <v>Женская обувь</v>
      </c>
      <c r="M171" t="s">
        <v>38</v>
      </c>
      <c r="N171" t="s">
        <v>39</v>
      </c>
      <c r="O171" t="str">
        <f>PROPER('[1]Основной сток'!F168)</f>
        <v>Adidas</v>
      </c>
      <c r="P171" t="str">
        <f>'[1]Основной сток'!M168</f>
        <v>Розовый</v>
      </c>
      <c r="R171" t="s">
        <v>41</v>
      </c>
      <c r="S171" t="s">
        <v>42</v>
      </c>
      <c r="T171" t="str">
        <f t="shared" si="5"/>
        <v>Кроссовки и кеды</v>
      </c>
      <c r="U171">
        <f>'[1]Основной сток'!J168 - 1</f>
        <v>36</v>
      </c>
      <c r="V171" t="s">
        <v>43</v>
      </c>
      <c r="X171" t="s">
        <v>44</v>
      </c>
      <c r="Y171" t="s">
        <v>45</v>
      </c>
    </row>
    <row r="172" spans="1:25" x14ac:dyDescent="0.15">
      <c r="A172" s="6">
        <f>'[1]Основной сток'!A169</f>
        <v>1915051</v>
      </c>
      <c r="B172" t="s">
        <v>33</v>
      </c>
      <c r="D172" t="s">
        <v>34</v>
      </c>
      <c r="E172" t="s">
        <v>35</v>
      </c>
      <c r="F172" s="7" t="str">
        <f>PROPER(LEFT('[1]Основной сток'!I169,FIND(CHAR(10),'[1]Основной сток'!I169&amp;CHAR(10))-1))</f>
        <v>Adidas Gazelle «Bliss Pink Purple»</v>
      </c>
      <c r="G172" t="str">
        <f>F172 &amp; ", " &amp; '[1]Основной сток'!H169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сток'!J169 &amp; " / RU " &amp;
INDEX('[1]Размерная сетка'!$B$2:$B$40,MATCH('[1]Основной сток'!J169,'[1]Размерная сетка'!$A$2:$A$40,0)) &amp; " / US " &amp;
INDEX('[1]Размерная сетка'!$C$2:$C$40,MATCH('[1]Основной сток'!J169,'[1]Размерная сетка'!$A$2:$A$40,0)) &amp; " / см " &amp;
INDEX('[1]Размерная сетка'!$D$2:$D$40,MATCH('[1]Основной сток'!J169,'[1]Размерная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«Bliss Pink Purple», IE7002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72" s="8">
        <f>'[1]Основной сток'!L169</f>
        <v>24000</v>
      </c>
      <c r="I172" s="1" t="str" cm="1">
        <f t="array" ref="I172">VLOOKUP(INDEX('[1]Основной сток'!H:H,ROW()-3),[1]Фотки!A:B,2,FALSE)</f>
        <v>https://i.ibb.co/XrmBVZfg/1.jpg|https://i.ibb.co/F4tFSCsM/2.jpg|https://i.ibb.co/7x2rn3TV/3.jpg|https://i.ibb.co/8D5KXGZt/4.jpg</v>
      </c>
      <c r="J172" t="s">
        <v>36</v>
      </c>
      <c r="K172" t="s">
        <v>37</v>
      </c>
      <c r="L172" t="str">
        <f t="shared" si="4"/>
        <v>Женская обувь</v>
      </c>
      <c r="M172" t="s">
        <v>38</v>
      </c>
      <c r="N172" t="s">
        <v>39</v>
      </c>
      <c r="O172" t="str">
        <f>PROPER('[1]Основной сток'!F169)</f>
        <v>Adidas</v>
      </c>
      <c r="P172" t="str">
        <f>'[1]Основной сток'!M169</f>
        <v>Розовый</v>
      </c>
      <c r="R172" t="s">
        <v>41</v>
      </c>
      <c r="S172" t="s">
        <v>42</v>
      </c>
      <c r="T172" t="str">
        <f t="shared" si="5"/>
        <v>Кроссовки и кеды</v>
      </c>
      <c r="U172">
        <f>'[1]Основной сток'!J169 - 1</f>
        <v>37</v>
      </c>
      <c r="V172" t="s">
        <v>43</v>
      </c>
      <c r="X172" t="s">
        <v>44</v>
      </c>
      <c r="Y172" t="s">
        <v>45</v>
      </c>
    </row>
    <row r="173" spans="1:25" x14ac:dyDescent="0.15">
      <c r="A173" s="6">
        <f>'[1]Основной сток'!A170</f>
        <v>1915053</v>
      </c>
      <c r="B173" t="s">
        <v>33</v>
      </c>
      <c r="D173" t="s">
        <v>34</v>
      </c>
      <c r="E173" t="s">
        <v>35</v>
      </c>
      <c r="F173" s="7" t="str">
        <f>PROPER(LEFT('[1]Основной сток'!I170,FIND(CHAR(10),'[1]Основной сток'!I170&amp;CHAR(10))-1))</f>
        <v>Wmns Air Jordan 1 Low 'Unc'</v>
      </c>
      <c r="G173" t="str">
        <f>F173 &amp; ", " &amp; '[1]Основной сток'!H170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сток'!J170 &amp; " / RU " &amp;
INDEX('[1]Размерная сетка'!$B$2:$B$40,MATCH('[1]Основной сток'!J170,'[1]Размерная сетка'!$A$2:$A$40,0)) &amp; " / US " &amp;
INDEX('[1]Размерная сетка'!$C$2:$C$40,MATCH('[1]Основной сток'!J170,'[1]Размерная сетка'!$A$2:$A$40,0)) &amp; " / см " &amp;
INDEX('[1]Размерная сетка'!$D$2:$D$40,MATCH('[1]Основной сток'!J170,'[1]Размерная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Wmns Air Jordan 1 Low 'Unc', AO9944-441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73" s="8">
        <f>'[1]Основной сток'!L170</f>
        <v>20000</v>
      </c>
      <c r="I173" s="1" t="str" cm="1">
        <f t="array" ref="I173">VLOOKUP(INDEX('[1]Основной сток'!H:H,ROW()-3),[1]Фотки!A:B,2,FALSE)</f>
        <v>https://i.ibb.co/wZp6V2ff/1-1.jpg</v>
      </c>
      <c r="J173" t="s">
        <v>36</v>
      </c>
      <c r="K173" t="s">
        <v>37</v>
      </c>
      <c r="L173" t="str">
        <f t="shared" si="4"/>
        <v>Женская обувь</v>
      </c>
      <c r="M173" t="s">
        <v>38</v>
      </c>
      <c r="N173" t="s">
        <v>39</v>
      </c>
      <c r="O173" t="str">
        <f>PROPER('[1]Основной сток'!F170)</f>
        <v>Jordan</v>
      </c>
      <c r="P173" t="str">
        <f>'[1]Основной сток'!M170</f>
        <v>Голубой</v>
      </c>
      <c r="R173" t="s">
        <v>41</v>
      </c>
      <c r="S173" t="s">
        <v>42</v>
      </c>
      <c r="T173" t="str">
        <f t="shared" si="5"/>
        <v>Кроссовки и кеды</v>
      </c>
      <c r="U173">
        <f>'[1]Основной сток'!J170 - 1</f>
        <v>37</v>
      </c>
      <c r="V173" t="s">
        <v>43</v>
      </c>
      <c r="X173" t="s">
        <v>44</v>
      </c>
      <c r="Y173" t="s">
        <v>45</v>
      </c>
    </row>
    <row r="174" spans="1:25" x14ac:dyDescent="0.15">
      <c r="A174" s="6">
        <f>'[1]Основной сток'!A171</f>
        <v>1915055</v>
      </c>
      <c r="B174" t="s">
        <v>33</v>
      </c>
      <c r="D174" t="s">
        <v>34</v>
      </c>
      <c r="E174" t="s">
        <v>35</v>
      </c>
      <c r="F174" s="7" t="str">
        <f>PROPER(LEFT('[1]Основной сток'!I171,FIND(CHAR(10),'[1]Основной сток'!I171&amp;CHAR(10))-1))</f>
        <v>Wmns Air Jordan 1 Low 'Unc'</v>
      </c>
      <c r="G174" t="str">
        <f>F174 &amp; ", " &amp; '[1]Основной сток'!H171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сток'!J171 &amp; " / RU " &amp;
INDEX('[1]Размерная сетка'!$B$2:$B$40,MATCH('[1]Основной сток'!J171,'[1]Размерная сетка'!$A$2:$A$40,0)) &amp; " / US " &amp;
INDEX('[1]Размерная сетка'!$C$2:$C$40,MATCH('[1]Основной сток'!J171,'[1]Размерная сетка'!$A$2:$A$40,0)) &amp; " / см " &amp;
INDEX('[1]Размерная сетка'!$D$2:$D$40,MATCH('[1]Основной сток'!J171,'[1]Размерная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Wmns Air Jordan 1 Low 'Unc', AO9944-441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74" s="8">
        <f>'[1]Основной сток'!L171</f>
        <v>20000</v>
      </c>
      <c r="I174" s="1" t="str" cm="1">
        <f t="array" ref="I174">VLOOKUP(INDEX('[1]Основной сток'!H:H,ROW()-3),[1]Фотки!A:B,2,FALSE)</f>
        <v>https://i.ibb.co/wZp6V2ff/1-1.jpg</v>
      </c>
      <c r="J174" t="s">
        <v>36</v>
      </c>
      <c r="K174" t="s">
        <v>37</v>
      </c>
      <c r="L174" t="str">
        <f t="shared" si="4"/>
        <v>Женская обувь</v>
      </c>
      <c r="M174" t="s">
        <v>38</v>
      </c>
      <c r="N174" t="s">
        <v>39</v>
      </c>
      <c r="O174" t="str">
        <f>PROPER('[1]Основной сток'!F171)</f>
        <v>Jordan</v>
      </c>
      <c r="P174" t="str">
        <f>'[1]Основной сток'!M171</f>
        <v>Голубой</v>
      </c>
      <c r="R174" t="s">
        <v>41</v>
      </c>
      <c r="S174" t="s">
        <v>42</v>
      </c>
      <c r="T174" t="str">
        <f t="shared" si="5"/>
        <v>Кроссовки и кеды</v>
      </c>
      <c r="U174">
        <f>'[1]Основной сток'!J171 - 1</f>
        <v>38</v>
      </c>
      <c r="V174" t="s">
        <v>43</v>
      </c>
      <c r="X174" t="s">
        <v>44</v>
      </c>
      <c r="Y174" t="s">
        <v>45</v>
      </c>
    </row>
    <row r="175" spans="1:25" x14ac:dyDescent="0.15">
      <c r="A175" s="6">
        <f>'[1]Основной сток'!A172</f>
        <v>1915073</v>
      </c>
      <c r="B175" t="s">
        <v>33</v>
      </c>
      <c r="D175" t="s">
        <v>34</v>
      </c>
      <c r="E175" t="s">
        <v>35</v>
      </c>
      <c r="F175" s="7" t="str">
        <f>PROPER(LEFT('[1]Основной сток'!I172,FIND(CHAR(10),'[1]Основной сток'!I172&amp;CHAR(10))-1))</f>
        <v>Adidas Samba Og “Collegiate Green Gum”</v>
      </c>
      <c r="G175" t="str">
        <f>F175 &amp; ", " &amp; '[1]Основной сток'!H172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сток'!J172 &amp; " / RU " &amp;
INDEX('[1]Размерная сетка'!$B$2:$B$40,MATCH('[1]Основной сток'!J172,'[1]Размерная сетка'!$A$2:$A$40,0)) &amp; " / US " &amp;
INDEX('[1]Размерная сетка'!$C$2:$C$40,MATCH('[1]Основной сток'!J172,'[1]Размерная сетка'!$A$2:$A$40,0)) &amp; " / см " &amp;
INDEX('[1]Размерная сетка'!$D$2:$D$40,MATCH('[1]Основной сток'!J172,'[1]Размерная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Og “Collegiate Green Gum”, ID2054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75" s="8">
        <f>'[1]Основной сток'!L172</f>
        <v>18000</v>
      </c>
      <c r="I175" s="1" t="str" cm="1">
        <f t="array" ref="I175">VLOOKUP(INDEX('[1]Основной сток'!H:H,ROW()-3),[1]Фотки!A:B,2,FALSE)</f>
        <v>https://i.ibb.co/xKYFb6XZ/1-1.jpg|https://i.ibb.co/mr13qDPD/2.jpg|https://i.ibb.co/r25y5gRX/3.jpg|https://i.ibb.co/C5S93jKG/4.jpg</v>
      </c>
      <c r="J175" t="s">
        <v>36</v>
      </c>
      <c r="K175" t="s">
        <v>37</v>
      </c>
      <c r="L175" t="str">
        <f t="shared" si="4"/>
        <v>Женская обувь</v>
      </c>
      <c r="M175" t="s">
        <v>38</v>
      </c>
      <c r="N175" t="s">
        <v>39</v>
      </c>
      <c r="O175" t="str">
        <f>PROPER('[1]Основной сток'!F172)</f>
        <v>Adidas</v>
      </c>
      <c r="P175" t="str">
        <f>'[1]Основной сток'!M172</f>
        <v>Зелёный</v>
      </c>
      <c r="R175" t="s">
        <v>41</v>
      </c>
      <c r="S175" t="s">
        <v>42</v>
      </c>
      <c r="T175" t="str">
        <f t="shared" si="5"/>
        <v>Кроссовки и кеды</v>
      </c>
      <c r="U175">
        <f>'[1]Основной сток'!J172 - 1</f>
        <v>38</v>
      </c>
      <c r="V175" t="s">
        <v>43</v>
      </c>
      <c r="X175" t="s">
        <v>44</v>
      </c>
      <c r="Y175" t="s">
        <v>45</v>
      </c>
    </row>
    <row r="176" spans="1:25" x14ac:dyDescent="0.15">
      <c r="A176" s="6">
        <f>'[1]Основной сток'!A173</f>
        <v>1973584</v>
      </c>
      <c r="B176" t="s">
        <v>33</v>
      </c>
      <c r="D176" t="s">
        <v>34</v>
      </c>
      <c r="E176" t="s">
        <v>35</v>
      </c>
      <c r="F176" s="7" t="str">
        <f>PROPER(LEFT('[1]Основной сток'!I173,FIND(CHAR(10),'[1]Основной сток'!I173&amp;CHAR(10))-1))</f>
        <v>Adidas Samba Og “Collegiate Green Gum”</v>
      </c>
      <c r="G176" t="str">
        <f>F176 &amp; ", " &amp; '[1]Основной сток'!H173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сток'!J173 &amp; " / RU " &amp;
INDEX('[1]Размерная сетка'!$B$2:$B$40,MATCH('[1]Основной сток'!J173,'[1]Размерная сетка'!$A$2:$A$40,0)) &amp; " / US " &amp;
INDEX('[1]Размерная сетка'!$C$2:$C$40,MATCH('[1]Основной сток'!J173,'[1]Размерная сетка'!$A$2:$A$40,0)) &amp; " / см " &amp;
INDEX('[1]Размерная сетка'!$D$2:$D$40,MATCH('[1]Основной сток'!J173,'[1]Размерная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Og “Collegiate Green Gum”, ID2054
• В наличии в Москве
• Оригинал, можно проверить при получении
• Совершенно новые, полный комплект
• Размер: EU 37 / RU 36 / US 6,5 / см 23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76" s="8">
        <f>'[1]Основной сток'!L173</f>
        <v>18000</v>
      </c>
      <c r="I176" s="1" t="str" cm="1">
        <f t="array" ref="I176">VLOOKUP(INDEX('[1]Основной сток'!H:H,ROW()-3),[1]Фотки!A:B,2,FALSE)</f>
        <v>https://i.ibb.co/xKYFb6XZ/1-1.jpg|https://i.ibb.co/mr13qDPD/2.jpg|https://i.ibb.co/r25y5gRX/3.jpg|https://i.ibb.co/C5S93jKG/4.jpg</v>
      </c>
      <c r="J176" t="s">
        <v>36</v>
      </c>
      <c r="K176" t="s">
        <v>37</v>
      </c>
      <c r="L176" t="str">
        <f t="shared" si="4"/>
        <v>Женская обувь</v>
      </c>
      <c r="M176" t="s">
        <v>38</v>
      </c>
      <c r="N176" t="s">
        <v>39</v>
      </c>
      <c r="O176" t="str">
        <f>PROPER('[1]Основной сток'!F173)</f>
        <v>Adidas</v>
      </c>
      <c r="P176" t="str">
        <f>'[1]Основной сток'!M173</f>
        <v>Зелёный</v>
      </c>
      <c r="R176" t="s">
        <v>41</v>
      </c>
      <c r="S176" t="s">
        <v>42</v>
      </c>
      <c r="T176" t="str">
        <f t="shared" si="5"/>
        <v>Кроссовки и кеды</v>
      </c>
      <c r="U176">
        <f>'[1]Основной сток'!J173 - 1</f>
        <v>36</v>
      </c>
      <c r="V176" t="s">
        <v>43</v>
      </c>
      <c r="X176" t="s">
        <v>44</v>
      </c>
      <c r="Y176" t="s">
        <v>45</v>
      </c>
    </row>
    <row r="177" spans="1:25" x14ac:dyDescent="0.15">
      <c r="A177" s="6">
        <f>'[1]Основной сток'!A174</f>
        <v>1973585</v>
      </c>
      <c r="B177" t="s">
        <v>33</v>
      </c>
      <c r="D177" t="s">
        <v>34</v>
      </c>
      <c r="E177" t="s">
        <v>35</v>
      </c>
      <c r="F177" s="7" t="str">
        <f>PROPER(LEFT('[1]Основной сток'!I174,FIND(CHAR(10),'[1]Основной сток'!I174&amp;CHAR(10))-1))</f>
        <v>Adidas Gazelle Court Green Footwear White</v>
      </c>
      <c r="G177" t="str">
        <f>F177 &amp; ", " &amp; '[1]Основной сток'!H174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сток'!J174 &amp; " / RU " &amp;
INDEX('[1]Размерная сетка'!$B$2:$B$40,MATCH('[1]Основной сток'!J174,'[1]Размерная сетка'!$A$2:$A$40,0)) &amp; " / US " &amp;
INDEX('[1]Размерная сетка'!$C$2:$C$40,MATCH('[1]Основной сток'!J174,'[1]Размерная сетка'!$A$2:$A$40,0)) &amp; " / см " &amp;
INDEX('[1]Размерная сетка'!$D$2:$D$40,MATCH('[1]Основной сток'!J174,'[1]Размерная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Court Green Footwear White, IG0671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77" s="8">
        <f>'[1]Основной сток'!L174</f>
        <v>16000</v>
      </c>
      <c r="I177" s="1" t="str" cm="1">
        <f t="array" ref="I177">VLOOKUP(INDEX('[1]Основной сток'!H:H,ROW()-3),[1]Фотки!A:B,2,FALSE)</f>
        <v>https://i.ibb.co/gFD3ns0R/1.jpg|https://i.ibb.co/F4fDWkyC/2.jpg|https://i.ibb.co/gZ6ysT8t/3.jpg|https://i.ibb.co/wNk6xhDk/4.jpg</v>
      </c>
      <c r="J177" t="s">
        <v>36</v>
      </c>
      <c r="K177" t="s">
        <v>37</v>
      </c>
      <c r="L177" t="str">
        <f t="shared" si="4"/>
        <v>Женская обувь</v>
      </c>
      <c r="M177" t="s">
        <v>38</v>
      </c>
      <c r="N177" t="s">
        <v>39</v>
      </c>
      <c r="O177" t="str">
        <f>PROPER('[1]Основной сток'!F174)</f>
        <v>Adidas</v>
      </c>
      <c r="P177" t="str">
        <f>'[1]Основной сток'!M174</f>
        <v>Зелёный</v>
      </c>
      <c r="R177" t="s">
        <v>41</v>
      </c>
      <c r="S177" t="s">
        <v>42</v>
      </c>
      <c r="T177" t="str">
        <f t="shared" si="5"/>
        <v>Кроссовки и кеды</v>
      </c>
      <c r="U177">
        <f>'[1]Основной сток'!J174 - 1</f>
        <v>37.5</v>
      </c>
      <c r="V177" t="s">
        <v>43</v>
      </c>
      <c r="X177" t="s">
        <v>44</v>
      </c>
      <c r="Y177" t="s">
        <v>45</v>
      </c>
    </row>
    <row r="178" spans="1:25" x14ac:dyDescent="0.15">
      <c r="A178" s="6">
        <f>'[1]Основной сток'!A175</f>
        <v>1978525</v>
      </c>
      <c r="B178" t="s">
        <v>33</v>
      </c>
      <c r="D178" t="s">
        <v>34</v>
      </c>
      <c r="E178" t="s">
        <v>35</v>
      </c>
      <c r="F178" s="7" t="str">
        <f>PROPER(LEFT('[1]Основной сток'!I175,FIND(CHAR(10),'[1]Основной сток'!I175&amp;CHAR(10))-1))</f>
        <v>Wmns Dunk Low Se 'All Petals United'</v>
      </c>
      <c r="G178" t="str">
        <f>F178 &amp; ", " &amp; '[1]Основной сток'!H175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сток'!J175 &amp; " / RU " &amp;
INDEX('[1]Размерная сетка'!$B$2:$B$40,MATCH('[1]Основной сток'!J175,'[1]Размерная сетка'!$A$2:$A$40,0)) &amp; " / US " &amp;
INDEX('[1]Размерная сетка'!$C$2:$C$40,MATCH('[1]Основной сток'!J175,'[1]Размерная сетка'!$A$2:$A$40,0)) &amp; " / см " &amp;
INDEX('[1]Размерная сетка'!$D$2:$D$40,MATCH('[1]Основной сток'!J175,'[1]Размерная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Wmns Dunk Low Se 'All Petals United', FN8923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78" s="8">
        <f>'[1]Основной сток'!L175</f>
        <v>20000</v>
      </c>
      <c r="I178" s="1" t="str" cm="1">
        <f t="array" ref="I178">VLOOKUP(INDEX('[1]Основной сток'!H:H,ROW()-3),[1]Фотки!A:B,2,FALSE)</f>
        <v>https://i.ibb.co/9PTkbHr/1.jpg</v>
      </c>
      <c r="J178" t="s">
        <v>36</v>
      </c>
      <c r="K178" t="s">
        <v>37</v>
      </c>
      <c r="L178" t="str">
        <f t="shared" si="4"/>
        <v>Женская обувь</v>
      </c>
      <c r="M178" t="s">
        <v>38</v>
      </c>
      <c r="N178" t="s">
        <v>39</v>
      </c>
      <c r="O178" t="str">
        <f>PROPER('[1]Основной сток'!F175)</f>
        <v>Nike</v>
      </c>
      <c r="P178" t="str">
        <f>'[1]Основной сток'!M175</f>
        <v>Зелёный</v>
      </c>
      <c r="R178" t="s">
        <v>41</v>
      </c>
      <c r="S178" t="s">
        <v>42</v>
      </c>
      <c r="T178" t="str">
        <f t="shared" si="5"/>
        <v>Кроссовки и кеды</v>
      </c>
      <c r="U178">
        <f>'[1]Основной сток'!J175 - 1</f>
        <v>37</v>
      </c>
      <c r="V178" t="s">
        <v>43</v>
      </c>
      <c r="X178" t="s">
        <v>44</v>
      </c>
      <c r="Y178" t="s">
        <v>45</v>
      </c>
    </row>
    <row r="179" spans="1:25" x14ac:dyDescent="0.15">
      <c r="A179" s="6">
        <f>'[1]Основной сток'!A176</f>
        <v>1980152</v>
      </c>
      <c r="B179" t="s">
        <v>33</v>
      </c>
      <c r="D179" t="s">
        <v>34</v>
      </c>
      <c r="E179" t="s">
        <v>35</v>
      </c>
      <c r="F179" s="7" t="str">
        <f>PROPER(LEFT('[1]Основной сток'!I176,FIND(CHAR(10),'[1]Основной сток'!I176&amp;CHAR(10))-1))</f>
        <v>Gazelle Indoor 'Black White Gum'</v>
      </c>
      <c r="G179" t="str">
        <f>F179 &amp; ", " &amp; '[1]Основной сток'!H176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сток'!J176 &amp; " / RU " &amp;
INDEX('[1]Размерная сетка'!$B$2:$B$40,MATCH('[1]Основной сток'!J176,'[1]Размерная сетка'!$A$2:$A$40,0)) &amp; " / US " &amp;
INDEX('[1]Размерная сетка'!$C$2:$C$40,MATCH('[1]Основной сток'!J176,'[1]Размерная сетка'!$A$2:$A$40,0)) &amp; " / см " &amp;
INDEX('[1]Размерная сетка'!$D$2:$D$40,MATCH('[1]Основной сток'!J176,'[1]Размерная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Gazelle Indoor 'Black White Gum', H06259
• В наличии в Москве
• Оригинал, можно проверить при получении
• Совершенно новые, полный комплект
• Размер: EU 40,5 / RU 39,5 / US 9 / см 25,3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79" s="8">
        <f>'[1]Основной сток'!L176</f>
        <v>19000</v>
      </c>
      <c r="I179" s="1" t="str" cm="1">
        <f t="array" ref="I179">VLOOKUP(INDEX('[1]Основной сток'!H:H,ROW()-3),[1]Фотки!A:B,2,FALSE)</f>
        <v>https://i.ibb.co/DfyZh8BL/1-1.jpg</v>
      </c>
      <c r="J179" t="s">
        <v>36</v>
      </c>
      <c r="K179" t="s">
        <v>37</v>
      </c>
      <c r="L179" t="str">
        <f t="shared" si="4"/>
        <v>Женская обувь</v>
      </c>
      <c r="M179" t="s">
        <v>38</v>
      </c>
      <c r="N179" t="s">
        <v>39</v>
      </c>
      <c r="O179" t="str">
        <f>PROPER('[1]Основной сток'!F176)</f>
        <v>Adidas</v>
      </c>
      <c r="P179" t="str">
        <f>'[1]Основной сток'!M176</f>
        <v>Черный</v>
      </c>
      <c r="R179" t="s">
        <v>41</v>
      </c>
      <c r="S179" t="s">
        <v>42</v>
      </c>
      <c r="T179" t="str">
        <f t="shared" si="5"/>
        <v>Кроссовки и кеды</v>
      </c>
      <c r="U179">
        <f>'[1]Основной сток'!J176 - 1</f>
        <v>39.5</v>
      </c>
      <c r="V179" t="s">
        <v>43</v>
      </c>
      <c r="X179" t="s">
        <v>44</v>
      </c>
      <c r="Y179" t="s">
        <v>45</v>
      </c>
    </row>
    <row r="180" spans="1:25" x14ac:dyDescent="0.15">
      <c r="A180" s="6">
        <f>'[1]Основной сток'!A177</f>
        <v>2012258</v>
      </c>
      <c r="B180" t="s">
        <v>33</v>
      </c>
      <c r="D180" t="s">
        <v>34</v>
      </c>
      <c r="E180" t="s">
        <v>35</v>
      </c>
      <c r="F180" s="7" t="str">
        <f>PROPER(LEFT('[1]Основной сток'!I177,FIND(CHAR(10),'[1]Основной сток'!I177&amp;CHAR(10))-1))</f>
        <v xml:space="preserve">Wmns Adidas Samba Og Green Leather </v>
      </c>
      <c r="G180" t="str">
        <f>F180 &amp; ", " &amp; '[1]Основной сток'!H177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сток'!J177 &amp; " / RU " &amp;
INDEX('[1]Размерная сетка'!$B$2:$B$40,MATCH('[1]Основной сток'!J177,'[1]Размерная сетка'!$A$2:$A$40,0)) &amp; " / US " &amp;
INDEX('[1]Размерная сетка'!$C$2:$C$40,MATCH('[1]Основной сток'!J177,'[1]Размерная сетка'!$A$2:$A$40,0)) &amp; " / см " &amp;
INDEX('[1]Размерная сетка'!$D$2:$D$40,MATCH('[1]Основной сток'!J177,'[1]Размерная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Wmns Adidas Samba Og Green Leather , IE0872
• В наличии в Москве
• Оригинал, можно проверить при получении
• Совершенно новые, полный комплект
• Размер: EU 36,5 / RU 35,5 / US 6 / см 22,7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80" s="8">
        <f>'[1]Основной сток'!L177</f>
        <v>24000</v>
      </c>
      <c r="I180" s="1" t="str" cm="1">
        <f t="array" ref="I180">VLOOKUP(INDEX('[1]Основной сток'!H:H,ROW()-3),[1]Фотки!A:B,2,FALSE)</f>
        <v>https://i.ibb.co/8DZMwD1M/1.jpg|https://i.ibb.co/q3nQZm3s/2.jpg|https://i.ibb.co/RGVGfQHV/3.jpg|https://i.ibb.co/8LGGGr95/4.jpg</v>
      </c>
      <c r="J180" t="s">
        <v>36</v>
      </c>
      <c r="K180" t="s">
        <v>37</v>
      </c>
      <c r="L180" t="str">
        <f t="shared" si="4"/>
        <v>Женская обувь</v>
      </c>
      <c r="M180" t="s">
        <v>38</v>
      </c>
      <c r="N180" t="s">
        <v>39</v>
      </c>
      <c r="O180" t="str">
        <f>PROPER('[1]Основной сток'!F177)</f>
        <v>Adidas</v>
      </c>
      <c r="P180" t="str">
        <f>'[1]Основной сток'!M177</f>
        <v>Зелёный</v>
      </c>
      <c r="R180" t="s">
        <v>41</v>
      </c>
      <c r="S180" t="s">
        <v>42</v>
      </c>
      <c r="T180" t="str">
        <f t="shared" si="5"/>
        <v>Кроссовки и кеды</v>
      </c>
      <c r="U180">
        <f>'[1]Основной сток'!J177 - 1</f>
        <v>35.5</v>
      </c>
      <c r="V180" t="s">
        <v>43</v>
      </c>
      <c r="X180" t="s">
        <v>44</v>
      </c>
      <c r="Y180" t="s">
        <v>45</v>
      </c>
    </row>
    <row r="181" spans="1:25" x14ac:dyDescent="0.15">
      <c r="A181" s="6">
        <f>'[1]Основной сток'!A178</f>
        <v>2012259</v>
      </c>
      <c r="B181" t="s">
        <v>33</v>
      </c>
      <c r="D181" t="s">
        <v>34</v>
      </c>
      <c r="E181" t="s">
        <v>35</v>
      </c>
      <c r="F181" s="7" t="str">
        <f>PROPER(LEFT('[1]Основной сток'!I178,FIND(CHAR(10),'[1]Основной сток'!I178&amp;CHAR(10))-1))</f>
        <v xml:space="preserve">Wmns Adidas Samba Og Green Leather </v>
      </c>
      <c r="G181" t="str">
        <f>F181 &amp; ", " &amp; '[1]Основной сток'!H178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сток'!J178 &amp; " / RU " &amp;
INDEX('[1]Размерная сетка'!$B$2:$B$40,MATCH('[1]Основной сток'!J178,'[1]Размерная сетка'!$A$2:$A$40,0)) &amp; " / US " &amp;
INDEX('[1]Размерная сетка'!$C$2:$C$40,MATCH('[1]Основной сток'!J178,'[1]Размерная сетка'!$A$2:$A$40,0)) &amp; " / см " &amp;
INDEX('[1]Размерная сетка'!$D$2:$D$40,MATCH('[1]Основной сток'!J178,'[1]Размерная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Wmns Adidas Samba Og Green Leather , IE0872
• В наличии в Москве
• Оригинал, можно проверить при получении
• Совершенно новые, полный комплект
• Размер: EU 37 / RU 36 / US 6,5 / см 23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81" s="8">
        <f>'[1]Основной сток'!L178</f>
        <v>24000</v>
      </c>
      <c r="I181" s="1" t="str" cm="1">
        <f t="array" ref="I181">VLOOKUP(INDEX('[1]Основной сток'!H:H,ROW()-3),[1]Фотки!A:B,2,FALSE)</f>
        <v>https://i.ibb.co/8DZMwD1M/1.jpg|https://i.ibb.co/q3nQZm3s/2.jpg|https://i.ibb.co/RGVGfQHV/3.jpg|https://i.ibb.co/8LGGGr95/4.jpg</v>
      </c>
      <c r="J181" t="s">
        <v>36</v>
      </c>
      <c r="K181" t="s">
        <v>37</v>
      </c>
      <c r="L181" t="str">
        <f t="shared" si="4"/>
        <v>Женская обувь</v>
      </c>
      <c r="M181" t="s">
        <v>38</v>
      </c>
      <c r="N181" t="s">
        <v>39</v>
      </c>
      <c r="O181" t="str">
        <f>PROPER('[1]Основной сток'!F178)</f>
        <v>Adidas</v>
      </c>
      <c r="P181" t="str">
        <f>'[1]Основной сток'!M178</f>
        <v>Зелёный</v>
      </c>
      <c r="R181" t="s">
        <v>41</v>
      </c>
      <c r="S181" t="s">
        <v>42</v>
      </c>
      <c r="T181" t="str">
        <f t="shared" si="5"/>
        <v>Кроссовки и кеды</v>
      </c>
      <c r="U181">
        <f>'[1]Основной сток'!J178 - 1</f>
        <v>36</v>
      </c>
      <c r="V181" t="s">
        <v>43</v>
      </c>
      <c r="X181" t="s">
        <v>44</v>
      </c>
      <c r="Y181" t="s">
        <v>45</v>
      </c>
    </row>
    <row r="182" spans="1:25" x14ac:dyDescent="0.15">
      <c r="A182" s="6">
        <f>'[1]Основной сток'!A179</f>
        <v>2012261</v>
      </c>
      <c r="B182" t="s">
        <v>33</v>
      </c>
      <c r="D182" t="s">
        <v>34</v>
      </c>
      <c r="E182" t="s">
        <v>35</v>
      </c>
      <c r="F182" s="7" t="str">
        <f>PROPER(LEFT('[1]Основной сток'!I179,FIND(CHAR(10),'[1]Основной сток'!I179&amp;CHAR(10))-1))</f>
        <v xml:space="preserve">Wmns Adidas Samba Og Green Leather </v>
      </c>
      <c r="G182" t="str">
        <f>F182 &amp; ", " &amp; '[1]Основной сток'!H179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сток'!J179 &amp; " / RU " &amp;
INDEX('[1]Размерная сетка'!$B$2:$B$40,MATCH('[1]Основной сток'!J179,'[1]Размерная сетка'!$A$2:$A$40,0)) &amp; " / US " &amp;
INDEX('[1]Размерная сетка'!$C$2:$C$40,MATCH('[1]Основной сток'!J179,'[1]Размерная сетка'!$A$2:$A$40,0)) &amp; " / см " &amp;
INDEX('[1]Размерная сетка'!$D$2:$D$40,MATCH('[1]Основной сток'!J179,'[1]Размерная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Wmns Adidas Samba Og Green Leather , IE0872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82" s="8">
        <f>'[1]Основной сток'!L179</f>
        <v>24000</v>
      </c>
      <c r="I182" s="1" t="str" cm="1">
        <f t="array" ref="I182">VLOOKUP(INDEX('[1]Основной сток'!H:H,ROW()-3),[1]Фотки!A:B,2,FALSE)</f>
        <v>https://i.ibb.co/8DZMwD1M/1.jpg|https://i.ibb.co/q3nQZm3s/2.jpg|https://i.ibb.co/RGVGfQHV/3.jpg|https://i.ibb.co/8LGGGr95/4.jpg</v>
      </c>
      <c r="J182" t="s">
        <v>36</v>
      </c>
      <c r="K182" t="s">
        <v>37</v>
      </c>
      <c r="L182" t="str">
        <f t="shared" si="4"/>
        <v>Женская обувь</v>
      </c>
      <c r="M182" t="s">
        <v>38</v>
      </c>
      <c r="N182" t="s">
        <v>39</v>
      </c>
      <c r="O182" t="str">
        <f>PROPER('[1]Основной сток'!F179)</f>
        <v>Adidas</v>
      </c>
      <c r="P182" t="str">
        <f>'[1]Основной сток'!M179</f>
        <v>Зелёный</v>
      </c>
      <c r="R182" t="s">
        <v>41</v>
      </c>
      <c r="S182" t="s">
        <v>42</v>
      </c>
      <c r="T182" t="str">
        <f t="shared" si="5"/>
        <v>Кроссовки и кеды</v>
      </c>
      <c r="U182">
        <f>'[1]Основной сток'!J179 - 1</f>
        <v>37.5</v>
      </c>
      <c r="V182" t="s">
        <v>43</v>
      </c>
      <c r="X182" t="s">
        <v>44</v>
      </c>
      <c r="Y182" t="s">
        <v>45</v>
      </c>
    </row>
    <row r="183" spans="1:25" x14ac:dyDescent="0.15">
      <c r="A183" s="6">
        <f>'[1]Основной сток'!A180</f>
        <v>2012262</v>
      </c>
      <c r="B183" t="s">
        <v>33</v>
      </c>
      <c r="D183" t="s">
        <v>34</v>
      </c>
      <c r="E183" t="s">
        <v>35</v>
      </c>
      <c r="F183" s="7" t="str">
        <f>PROPER(LEFT('[1]Основной сток'!I180,FIND(CHAR(10),'[1]Основной сток'!I180&amp;CHAR(10))-1))</f>
        <v xml:space="preserve">Wmns Adidas Samba Og Green Leather </v>
      </c>
      <c r="G183" t="str">
        <f>F183 &amp; ", " &amp; '[1]Основной сток'!H180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сток'!J180 &amp; " / RU " &amp;
INDEX('[1]Размерная сетка'!$B$2:$B$40,MATCH('[1]Основной сток'!J180,'[1]Размерная сетка'!$A$2:$A$40,0)) &amp; " / US " &amp;
INDEX('[1]Размерная сетка'!$C$2:$C$40,MATCH('[1]Основной сток'!J180,'[1]Размерная сетка'!$A$2:$A$40,0)) &amp; " / см " &amp;
INDEX('[1]Размерная сетка'!$D$2:$D$40,MATCH('[1]Основной сток'!J180,'[1]Размерная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Wmns Adidas Samba Og Green Leather , IE0872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83" s="8">
        <f>'[1]Основной сток'!L180</f>
        <v>24000</v>
      </c>
      <c r="I183" s="1" t="str" cm="1">
        <f t="array" ref="I183">VLOOKUP(INDEX('[1]Основной сток'!H:H,ROW()-3),[1]Фотки!A:B,2,FALSE)</f>
        <v>https://i.ibb.co/8DZMwD1M/1.jpg|https://i.ibb.co/q3nQZm3s/2.jpg|https://i.ibb.co/RGVGfQHV/3.jpg|https://i.ibb.co/8LGGGr95/4.jpg</v>
      </c>
      <c r="J183" t="s">
        <v>36</v>
      </c>
      <c r="K183" t="s">
        <v>37</v>
      </c>
      <c r="L183" t="str">
        <f t="shared" si="4"/>
        <v>Женская обувь</v>
      </c>
      <c r="M183" t="s">
        <v>38</v>
      </c>
      <c r="N183" t="s">
        <v>39</v>
      </c>
      <c r="O183" t="str">
        <f>PROPER('[1]Основной сток'!F180)</f>
        <v>Adidas</v>
      </c>
      <c r="P183" t="str">
        <f>'[1]Основной сток'!M180</f>
        <v>Зелёный</v>
      </c>
      <c r="R183" t="s">
        <v>41</v>
      </c>
      <c r="S183" t="s">
        <v>42</v>
      </c>
      <c r="T183" t="str">
        <f t="shared" si="5"/>
        <v>Кроссовки и кеды</v>
      </c>
      <c r="U183">
        <f>'[1]Основной сток'!J180 - 1</f>
        <v>38</v>
      </c>
      <c r="V183" t="s">
        <v>43</v>
      </c>
      <c r="X183" t="s">
        <v>44</v>
      </c>
      <c r="Y183" t="s">
        <v>45</v>
      </c>
    </row>
    <row r="184" spans="1:25" x14ac:dyDescent="0.15">
      <c r="A184" s="6">
        <f>'[1]Основной сток'!A181</f>
        <v>2012263</v>
      </c>
      <c r="B184" t="s">
        <v>33</v>
      </c>
      <c r="D184" t="s">
        <v>34</v>
      </c>
      <c r="E184" t="s">
        <v>35</v>
      </c>
      <c r="F184" s="7" t="str">
        <f>PROPER(LEFT('[1]Основной сток'!I181,FIND(CHAR(10),'[1]Основной сток'!I181&amp;CHAR(10))-1))</f>
        <v xml:space="preserve">Wmns Adidas Samba Og Green Leather </v>
      </c>
      <c r="G184" t="str">
        <f>F184 &amp; ", " &amp; '[1]Основной сток'!H181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сток'!J181 &amp; " / RU " &amp;
INDEX('[1]Размерная сетка'!$B$2:$B$40,MATCH('[1]Основной сток'!J181,'[1]Размерная сетка'!$A$2:$A$40,0)) &amp; " / US " &amp;
INDEX('[1]Размерная сетка'!$C$2:$C$40,MATCH('[1]Основной сток'!J181,'[1]Размерная сетка'!$A$2:$A$40,0)) &amp; " / см " &amp;
INDEX('[1]Размерная сетка'!$D$2:$D$40,MATCH('[1]Основной сток'!J181,'[1]Размерная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Wmns Adidas Samba Og Green Leather , IE0872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84" s="8">
        <f>'[1]Основной сток'!L181</f>
        <v>24000</v>
      </c>
      <c r="I184" s="1" t="str" cm="1">
        <f t="array" ref="I184">VLOOKUP(INDEX('[1]Основной сток'!H:H,ROW()-3),[1]Фотки!A:B,2,FALSE)</f>
        <v>https://i.ibb.co/8DZMwD1M/1.jpg|https://i.ibb.co/q3nQZm3s/2.jpg|https://i.ibb.co/RGVGfQHV/3.jpg|https://i.ibb.co/8LGGGr95/4.jpg</v>
      </c>
      <c r="J184" t="s">
        <v>36</v>
      </c>
      <c r="K184" t="s">
        <v>37</v>
      </c>
      <c r="L184" t="str">
        <f t="shared" si="4"/>
        <v>Женская обувь</v>
      </c>
      <c r="M184" t="s">
        <v>38</v>
      </c>
      <c r="N184" t="s">
        <v>39</v>
      </c>
      <c r="O184" t="str">
        <f>PROPER('[1]Основной сток'!F181)</f>
        <v>Adidas</v>
      </c>
      <c r="P184" t="str">
        <f>'[1]Основной сток'!M181</f>
        <v>Зелёный</v>
      </c>
      <c r="R184" t="s">
        <v>41</v>
      </c>
      <c r="S184" t="s">
        <v>42</v>
      </c>
      <c r="T184" t="str">
        <f t="shared" si="5"/>
        <v>Кроссовки и кеды</v>
      </c>
      <c r="U184">
        <f>'[1]Основной сток'!J181 - 1</f>
        <v>39</v>
      </c>
      <c r="V184" t="s">
        <v>43</v>
      </c>
      <c r="X184" t="s">
        <v>44</v>
      </c>
      <c r="Y184" t="s">
        <v>45</v>
      </c>
    </row>
    <row r="185" spans="1:25" x14ac:dyDescent="0.15">
      <c r="A185" s="6">
        <f>'[1]Основной сток'!A182</f>
        <v>2013166</v>
      </c>
      <c r="B185" t="s">
        <v>33</v>
      </c>
      <c r="D185" t="s">
        <v>34</v>
      </c>
      <c r="E185" t="s">
        <v>35</v>
      </c>
      <c r="F185" s="7" t="str">
        <f>PROPER(LEFT('[1]Основной сток'!I182,FIND(CHAR(10),'[1]Основной сток'!I182&amp;CHAR(10))-1))</f>
        <v>Nike Dunk Low Photon Dust (W)</v>
      </c>
      <c r="G185" t="str">
        <f>F185 &amp; ", " &amp; '[1]Основной сток'!H182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сток'!J182 &amp; " / RU " &amp;
INDEX('[1]Размерная сетка'!$B$2:$B$40,MATCH('[1]Основной сток'!J182,'[1]Размерная сетка'!$A$2:$A$40,0)) &amp; " / US " &amp;
INDEX('[1]Размерная сетка'!$C$2:$C$40,MATCH('[1]Основной сток'!J182,'[1]Размерная сетка'!$A$2:$A$40,0)) &amp; " / см " &amp;
INDEX('[1]Размерная сетка'!$D$2:$D$40,MATCH('[1]Основной сток'!J182,'[1]Размерная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Photon Dust (W), DD1503-103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85" s="8">
        <f>'[1]Основной сток'!L182</f>
        <v>24000</v>
      </c>
      <c r="I185" s="1" t="str" cm="1">
        <f t="array" ref="I185">VLOOKUP(INDEX('[1]Основной сток'!H:H,ROW()-3),[1]Фотки!A:B,2,FALSE)</f>
        <v>https://i.ibb.co/Xxh034ZG/1-1.jpg|https://i.ibb.co/CpJ6kQYn/2.jpg|https://i.ibb.co/cK8TGjK1/3.jpg|https://i.ibb.co/99b1PqF2/4.jpg</v>
      </c>
      <c r="J185" t="s">
        <v>36</v>
      </c>
      <c r="K185" t="s">
        <v>37</v>
      </c>
      <c r="L185" t="str">
        <f t="shared" si="4"/>
        <v>Женская обувь</v>
      </c>
      <c r="M185" t="s">
        <v>38</v>
      </c>
      <c r="N185" t="s">
        <v>39</v>
      </c>
      <c r="O185" t="str">
        <f>PROPER('[1]Основной сток'!F182)</f>
        <v>Nike</v>
      </c>
      <c r="P185" t="str">
        <f>'[1]Основной сток'!M182</f>
        <v>Серый</v>
      </c>
      <c r="R185" t="s">
        <v>41</v>
      </c>
      <c r="S185" t="s">
        <v>42</v>
      </c>
      <c r="T185" t="str">
        <f t="shared" si="5"/>
        <v>Кроссовки и кеды</v>
      </c>
      <c r="U185">
        <f>'[1]Основной сток'!J182 - 1</f>
        <v>37</v>
      </c>
      <c r="V185" t="s">
        <v>43</v>
      </c>
      <c r="X185" t="s">
        <v>44</v>
      </c>
      <c r="Y185" t="s">
        <v>45</v>
      </c>
    </row>
    <row r="186" spans="1:25" x14ac:dyDescent="0.15">
      <c r="A186" s="6">
        <f>'[1]Основной сток'!A183</f>
        <v>2013167</v>
      </c>
      <c r="B186" t="s">
        <v>33</v>
      </c>
      <c r="D186" t="s">
        <v>34</v>
      </c>
      <c r="E186" t="s">
        <v>35</v>
      </c>
      <c r="F186" s="7" t="str">
        <f>PROPER(LEFT('[1]Основной сток'!I183,FIND(CHAR(10),'[1]Основной сток'!I183&amp;CHAR(10))-1))</f>
        <v>Nike Dunk Low Photon Dust (W)</v>
      </c>
      <c r="G186" t="str">
        <f>F186 &amp; ", " &amp; '[1]Основной сток'!H183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сток'!J183 &amp; " / RU " &amp;
INDEX('[1]Размерная сетка'!$B$2:$B$40,MATCH('[1]Основной сток'!J183,'[1]Размерная сетка'!$A$2:$A$40,0)) &amp; " / US " &amp;
INDEX('[1]Размерная сетка'!$C$2:$C$40,MATCH('[1]Основной сток'!J183,'[1]Размерная сетка'!$A$2:$A$40,0)) &amp; " / см " &amp;
INDEX('[1]Размерная сетка'!$D$2:$D$40,MATCH('[1]Основной сток'!J183,'[1]Размерная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Photon Dust (W), DD1503-103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86" s="8">
        <f>'[1]Основной сток'!L183</f>
        <v>24000</v>
      </c>
      <c r="I186" s="1" t="str" cm="1">
        <f t="array" ref="I186">VLOOKUP(INDEX('[1]Основной сток'!H:H,ROW()-3),[1]Фотки!A:B,2,FALSE)</f>
        <v>https://i.ibb.co/Xxh034ZG/1-1.jpg|https://i.ibb.co/CpJ6kQYn/2.jpg|https://i.ibb.co/cK8TGjK1/3.jpg|https://i.ibb.co/99b1PqF2/4.jpg</v>
      </c>
      <c r="J186" t="s">
        <v>36</v>
      </c>
      <c r="K186" t="s">
        <v>37</v>
      </c>
      <c r="L186" t="str">
        <f t="shared" si="4"/>
        <v>Женская обувь</v>
      </c>
      <c r="M186" t="s">
        <v>38</v>
      </c>
      <c r="N186" t="s">
        <v>39</v>
      </c>
      <c r="O186" t="str">
        <f>PROPER('[1]Основной сток'!F183)</f>
        <v>Nike</v>
      </c>
      <c r="P186" t="str">
        <f>'[1]Основной сток'!M183</f>
        <v>Серый</v>
      </c>
      <c r="R186" t="s">
        <v>41</v>
      </c>
      <c r="S186" t="s">
        <v>42</v>
      </c>
      <c r="T186" t="str">
        <f t="shared" si="5"/>
        <v>Кроссовки и кеды</v>
      </c>
      <c r="U186">
        <f>'[1]Основной сток'!J183 - 1</f>
        <v>37.5</v>
      </c>
      <c r="V186" t="s">
        <v>43</v>
      </c>
      <c r="X186" t="s">
        <v>44</v>
      </c>
      <c r="Y186" t="s">
        <v>45</v>
      </c>
    </row>
    <row r="187" spans="1:25" x14ac:dyDescent="0.15">
      <c r="A187" s="6">
        <f>'[1]Основной сток'!A184</f>
        <v>2032012</v>
      </c>
      <c r="B187" t="s">
        <v>33</v>
      </c>
      <c r="D187" t="s">
        <v>34</v>
      </c>
      <c r="E187" t="s">
        <v>35</v>
      </c>
      <c r="F187" s="7" t="str">
        <f>PROPER(LEFT('[1]Основной сток'!I184,FIND(CHAR(10),'[1]Основной сток'!I184&amp;CHAR(10))-1))</f>
        <v>Adidas Originals Gazelle Alumina Preloved Green</v>
      </c>
      <c r="G187" t="str">
        <f>F187 &amp; ", " &amp; '[1]Основной сток'!H184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сток'!J184 &amp; " / RU " &amp;
INDEX('[1]Размерная сетка'!$B$2:$B$40,MATCH('[1]Основной сток'!J184,'[1]Размерная сетка'!$A$2:$A$40,0)) &amp; " / US " &amp;
INDEX('[1]Размерная сетка'!$C$2:$C$40,MATCH('[1]Основной сток'!J184,'[1]Размерная сетка'!$A$2:$A$40,0)) &amp; " / см " &amp;
INDEX('[1]Размерная сетка'!$D$2:$D$40,MATCH('[1]Основной сток'!J184,'[1]Размерная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Originals Gazelle Alumina Preloved Green, IE3691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87" s="8">
        <f>'[1]Основной сток'!L184</f>
        <v>12900</v>
      </c>
      <c r="I187" s="1" t="str" cm="1">
        <f t="array" ref="I187">VLOOKUP(INDEX('[1]Основной сток'!H:H,ROW()-3),[1]Фотки!A:B,2,FALSE)</f>
        <v>https://i.ibb.co/V03T59Zt/1.jpg|https://i.ibb.co/N2gtrWYK/2.jpg|https://i.ibb.co/8Lbb7MdR/3.jpg|https://i.ibb.co/j9Hjw5xp/4.jpg</v>
      </c>
      <c r="J187" t="s">
        <v>36</v>
      </c>
      <c r="K187" t="s">
        <v>37</v>
      </c>
      <c r="L187" t="str">
        <f t="shared" si="4"/>
        <v>Женская обувь</v>
      </c>
      <c r="M187" t="s">
        <v>38</v>
      </c>
      <c r="N187" t="s">
        <v>39</v>
      </c>
      <c r="O187" t="str">
        <f>PROPER('[1]Основной сток'!F184)</f>
        <v>Adidas</v>
      </c>
      <c r="P187" t="str">
        <f>'[1]Основной сток'!M184</f>
        <v>Зелёный</v>
      </c>
      <c r="R187" t="s">
        <v>41</v>
      </c>
      <c r="S187" t="s">
        <v>42</v>
      </c>
      <c r="T187" t="str">
        <f t="shared" si="5"/>
        <v>Кроссовки и кеды</v>
      </c>
      <c r="U187">
        <f>'[1]Основной сток'!J184 - 1</f>
        <v>38</v>
      </c>
      <c r="V187" t="s">
        <v>43</v>
      </c>
      <c r="X187" t="s">
        <v>44</v>
      </c>
      <c r="Y187" t="s">
        <v>45</v>
      </c>
    </row>
    <row r="188" spans="1:25" x14ac:dyDescent="0.15">
      <c r="A188" s="6">
        <f>'[1]Основной сток'!A185</f>
        <v>2032013</v>
      </c>
      <c r="B188" t="s">
        <v>33</v>
      </c>
      <c r="D188" t="s">
        <v>34</v>
      </c>
      <c r="E188" t="s">
        <v>35</v>
      </c>
      <c r="F188" s="7" t="str">
        <f>PROPER(LEFT('[1]Основной сток'!I185,FIND(CHAR(10),'[1]Основной сток'!I185&amp;CHAR(10))-1))</f>
        <v>Foot Industry X Gazelle Indoor 'Off White Green'</v>
      </c>
      <c r="G188" t="str">
        <f>F188 &amp; ", " &amp; '[1]Основной сток'!H185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сток'!J185 &amp; " / RU " &amp;
INDEX('[1]Размерная сетка'!$B$2:$B$40,MATCH('[1]Основной сток'!J185,'[1]Размерная сетка'!$A$2:$A$40,0)) &amp; " / US " &amp;
INDEX('[1]Размерная сетка'!$C$2:$C$40,MATCH('[1]Основной сток'!J185,'[1]Размерная сетка'!$A$2:$A$40,0)) &amp; " / см " &amp;
INDEX('[1]Размерная сетка'!$D$2:$D$40,MATCH('[1]Основной сток'!J185,'[1]Размерная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Foot Industry X Gazelle Indoor 'Off White Green', ID3518
• В наличии в Москве
• Оригинал, можно проверить при получении
• Совершенно новые, полный комплект
• Размер: EU 41 / RU 40 / US 9,5 / см 25,5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88" s="8">
        <f>'[1]Основной сток'!L185</f>
        <v>25000</v>
      </c>
      <c r="I188" s="1" t="str" cm="1">
        <f t="array" ref="I188">VLOOKUP(INDEX('[1]Основной сток'!H:H,ROW()-3),[1]Фотки!A:B,2,FALSE)</f>
        <v>https://i.ibb.co/gMCCN4rS/1.jpg|https://i.ibb.co/TMqLThc0/2.jpg|https://i.ibb.co/ymKTZnN9/3.jpg|https://i.ibb.co/3mk8KKsJ/4.jpg</v>
      </c>
      <c r="J188" t="s">
        <v>36</v>
      </c>
      <c r="K188" t="s">
        <v>37</v>
      </c>
      <c r="L188" t="str">
        <f t="shared" si="4"/>
        <v>Женская обувь</v>
      </c>
      <c r="M188" t="s">
        <v>38</v>
      </c>
      <c r="N188" t="s">
        <v>39</v>
      </c>
      <c r="O188" t="str">
        <f>PROPER('[1]Основной сток'!F185)</f>
        <v>Adidas</v>
      </c>
      <c r="P188" t="str">
        <f>'[1]Основной сток'!M185</f>
        <v>Зелёный</v>
      </c>
      <c r="R188" t="s">
        <v>41</v>
      </c>
      <c r="S188" t="s">
        <v>42</v>
      </c>
      <c r="T188" t="str">
        <f t="shared" si="5"/>
        <v>Кроссовки и кеды</v>
      </c>
      <c r="U188">
        <f>'[1]Основной сток'!J185 - 1</f>
        <v>40</v>
      </c>
      <c r="V188" t="s">
        <v>43</v>
      </c>
      <c r="X188" t="s">
        <v>44</v>
      </c>
      <c r="Y188" t="s">
        <v>45</v>
      </c>
    </row>
    <row r="189" spans="1:25" x14ac:dyDescent="0.15">
      <c r="A189" s="6">
        <f>'[1]Основной сток'!A186</f>
        <v>2032061</v>
      </c>
      <c r="B189" t="s">
        <v>33</v>
      </c>
      <c r="D189" t="s">
        <v>34</v>
      </c>
      <c r="E189" t="s">
        <v>35</v>
      </c>
      <c r="F189" s="7" t="str">
        <f>PROPER(LEFT('[1]Основной сток'!I186,FIND(CHAR(10),'[1]Основной сток'!I186&amp;CHAR(10))-1))</f>
        <v>Nike V2K Runner Platinum Green</v>
      </c>
      <c r="G189" t="str">
        <f>F189 &amp; ", " &amp; '[1]Основной сток'!H186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сток'!J186 &amp; " / RU " &amp;
INDEX('[1]Размерная сетка'!$B$2:$B$40,MATCH('[1]Основной сток'!J186,'[1]Размерная сетка'!$A$2:$A$40,0)) &amp; " / US " &amp;
INDEX('[1]Размерная сетка'!$C$2:$C$40,MATCH('[1]Основной сток'!J186,'[1]Размерная сетка'!$A$2:$A$40,0)) &amp; " / см " &amp;
INDEX('[1]Размерная сетка'!$D$2:$D$40,MATCH('[1]Основной сток'!J186,'[1]Размерная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V2K Runner Platinum Green, FD0736-101
• В наличии в Москве
• Оригинал, можно проверить при получении
• Совершенно новые, полный комплект
• Размер: EU 36,5 / RU 35,5 / US 6 / см 22,7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89" s="8">
        <f>'[1]Основной сток'!L186</f>
        <v>22000</v>
      </c>
      <c r="I189" s="1" t="str" cm="1">
        <f t="array" ref="I189">VLOOKUP(INDEX('[1]Основной сток'!H:H,ROW()-3),[1]Фотки!A:B,2,FALSE)</f>
        <v>https://i.ibb.co/Q7qBGKZf/1-1.jpg|https://i.ibb.co/Qv72VzMb/2.jpg|https://i.ibb.co/Z1pF3VR7/3.jpg|https://i.ibb.co/Rp1HMMbm/4.jpg</v>
      </c>
      <c r="J189" t="s">
        <v>36</v>
      </c>
      <c r="K189" t="s">
        <v>37</v>
      </c>
      <c r="L189" t="str">
        <f t="shared" si="4"/>
        <v>Женская обувь</v>
      </c>
      <c r="M189" t="s">
        <v>38</v>
      </c>
      <c r="N189" t="s">
        <v>39</v>
      </c>
      <c r="O189" t="str">
        <f>PROPER('[1]Основной сток'!F186)</f>
        <v>Nike</v>
      </c>
      <c r="P189" t="str">
        <f>'[1]Основной сток'!M186</f>
        <v>Зелёный</v>
      </c>
      <c r="R189" t="s">
        <v>41</v>
      </c>
      <c r="S189" t="s">
        <v>42</v>
      </c>
      <c r="T189" t="str">
        <f t="shared" si="5"/>
        <v>Кроссовки и кеды</v>
      </c>
      <c r="U189">
        <f>'[1]Основной сток'!J186 - 1</f>
        <v>35.5</v>
      </c>
      <c r="V189" t="s">
        <v>43</v>
      </c>
      <c r="X189" t="s">
        <v>44</v>
      </c>
      <c r="Y189" t="s">
        <v>45</v>
      </c>
    </row>
    <row r="190" spans="1:25" x14ac:dyDescent="0.15">
      <c r="A190" s="6">
        <f>'[1]Основной сток'!A187</f>
        <v>2039989</v>
      </c>
      <c r="B190" t="s">
        <v>33</v>
      </c>
      <c r="D190" t="s">
        <v>34</v>
      </c>
      <c r="E190" t="s">
        <v>35</v>
      </c>
      <c r="F190" s="7" t="str">
        <f>PROPER(LEFT('[1]Основной сток'!I187,FIND(CHAR(10),'[1]Основной сток'!I187&amp;CHAR(10))-1))</f>
        <v>New Balance 1906R Refined Future</v>
      </c>
      <c r="G190" t="str">
        <f>F190 &amp; ", " &amp; '[1]Основной сток'!H187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сток'!J187 &amp; " / RU " &amp;
INDEX('[1]Размерная сетка'!$B$2:$B$40,MATCH('[1]Основной сток'!J187,'[1]Размерная сетка'!$A$2:$A$40,0)) &amp; " / US " &amp;
INDEX('[1]Размерная сетка'!$C$2:$C$40,MATCH('[1]Основной сток'!J187,'[1]Размерная сетка'!$A$2:$A$40,0)) &amp; " / см " &amp;
INDEX('[1]Размерная сетка'!$D$2:$D$40,MATCH('[1]Основной сток'!J187,'[1]Размерная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1906R Refined Future, M1906DA
• В наличии в Москве
• Оригинал, можно проверить при получении
• Совершенно новые, полный комплект
• Размер: EU 39,5 / RU 38,5 / US 8-8,5 / см 24,7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90" s="8">
        <f>'[1]Основной сток'!L187</f>
        <v>24000</v>
      </c>
      <c r="I190" s="1" t="str" cm="1">
        <f t="array" ref="I190">VLOOKUP(INDEX('[1]Основной сток'!H:H,ROW()-3),[1]Фотки!A:B,2,FALSE)</f>
        <v>https://i.ibb.co/KpTR5C9k/1-1.jpg|https://i.ibb.co/SDKv5t7x/2.jpg|https://i.ibb.co/KxgmWzFb/3.jpg|https://i.ibb.co/fVM4S7zt/4.jpg</v>
      </c>
      <c r="J190" t="s">
        <v>36</v>
      </c>
      <c r="K190" t="s">
        <v>37</v>
      </c>
      <c r="L190" t="str">
        <f t="shared" si="4"/>
        <v>Женская обувь</v>
      </c>
      <c r="M190" t="s">
        <v>38</v>
      </c>
      <c r="N190" t="s">
        <v>39</v>
      </c>
      <c r="O190" t="str">
        <f>PROPER('[1]Основной сток'!F187)</f>
        <v>New Balance</v>
      </c>
      <c r="P190" t="str">
        <f>'[1]Основной сток'!M187</f>
        <v>Серый</v>
      </c>
      <c r="R190" t="s">
        <v>41</v>
      </c>
      <c r="S190" t="s">
        <v>42</v>
      </c>
      <c r="T190" t="str">
        <f t="shared" si="5"/>
        <v>Кроссовки и кеды</v>
      </c>
      <c r="U190">
        <f>'[1]Основной сток'!J187 - 1</f>
        <v>38.5</v>
      </c>
      <c r="V190" t="s">
        <v>43</v>
      </c>
      <c r="X190" t="s">
        <v>44</v>
      </c>
      <c r="Y190" t="s">
        <v>45</v>
      </c>
    </row>
    <row r="191" spans="1:25" x14ac:dyDescent="0.15">
      <c r="A191" s="6">
        <f>'[1]Основной сток'!A188</f>
        <v>2089186</v>
      </c>
      <c r="B191" t="s">
        <v>33</v>
      </c>
      <c r="D191" t="s">
        <v>34</v>
      </c>
      <c r="E191" t="s">
        <v>35</v>
      </c>
      <c r="F191" s="7" t="str">
        <f>PROPER(LEFT('[1]Основной сток'!I188,FIND(CHAR(10),'[1]Основной сток'!I188&amp;CHAR(10))-1))</f>
        <v xml:space="preserve">Wmns Adidas Samba Og Green Leather </v>
      </c>
      <c r="G191" t="str">
        <f>F191 &amp; ", " &amp; '[1]Основной сток'!H188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сток'!J188 &amp; " / RU " &amp;
INDEX('[1]Размерная сетка'!$B$2:$B$40,MATCH('[1]Основной сток'!J188,'[1]Размерная сетка'!$A$2:$A$40,0)) &amp; " / US " &amp;
INDEX('[1]Размерная сетка'!$C$2:$C$40,MATCH('[1]Основной сток'!J188,'[1]Размерная сетка'!$A$2:$A$40,0)) &amp; " / см " &amp;
INDEX('[1]Размерная сетка'!$D$2:$D$40,MATCH('[1]Основной сток'!J188,'[1]Размерная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Wmns Adidas Samba Og Green Leather , IE0872
• В наличии в Москве
• Оригинал, можно проверить при получении
• Совершенно новые, полный комплект
• Размер: EU 40,5 / RU 39,5 / US 9 / см 25,3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91" s="8">
        <f>'[1]Основной сток'!L188</f>
        <v>24000</v>
      </c>
      <c r="I191" s="1" t="str" cm="1">
        <f t="array" ref="I191">VLOOKUP(INDEX('[1]Основной сток'!H:H,ROW()-3),[1]Фотки!A:B,2,FALSE)</f>
        <v>https://i.ibb.co/8DZMwD1M/1.jpg|https://i.ibb.co/q3nQZm3s/2.jpg|https://i.ibb.co/RGVGfQHV/3.jpg|https://i.ibb.co/8LGGGr95/4.jpg</v>
      </c>
      <c r="J191" t="s">
        <v>36</v>
      </c>
      <c r="K191" t="s">
        <v>37</v>
      </c>
      <c r="L191" t="str">
        <f t="shared" si="4"/>
        <v>Женская обувь</v>
      </c>
      <c r="M191" t="s">
        <v>38</v>
      </c>
      <c r="N191" t="s">
        <v>39</v>
      </c>
      <c r="O191" t="str">
        <f>PROPER('[1]Основной сток'!F188)</f>
        <v>Adidas</v>
      </c>
      <c r="P191" t="str">
        <f>'[1]Основной сток'!M188</f>
        <v>Зелёный</v>
      </c>
      <c r="R191" t="s">
        <v>41</v>
      </c>
      <c r="S191" t="s">
        <v>42</v>
      </c>
      <c r="T191" t="str">
        <f t="shared" si="5"/>
        <v>Кроссовки и кеды</v>
      </c>
      <c r="U191">
        <f>'[1]Основной сток'!J188 - 1</f>
        <v>39.5</v>
      </c>
      <c r="V191" t="s">
        <v>43</v>
      </c>
      <c r="X191" t="s">
        <v>44</v>
      </c>
      <c r="Y191" t="s">
        <v>45</v>
      </c>
    </row>
    <row r="192" spans="1:25" x14ac:dyDescent="0.15">
      <c r="A192" s="6">
        <f>'[1]Основной сток'!A189</f>
        <v>2089188</v>
      </c>
      <c r="B192" t="s">
        <v>33</v>
      </c>
      <c r="D192" t="s">
        <v>34</v>
      </c>
      <c r="E192" t="s">
        <v>35</v>
      </c>
      <c r="F192" s="7" t="str">
        <f>PROPER(LEFT('[1]Основной сток'!I189,FIND(CHAR(10),'[1]Основной сток'!I189&amp;CHAR(10))-1))</f>
        <v>Nike Dunk Low Photon Dust (W)</v>
      </c>
      <c r="G192" t="str">
        <f>F192 &amp; ", " &amp; '[1]Основной сток'!H189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сток'!J189 &amp; " / RU " &amp;
INDEX('[1]Размерная сетка'!$B$2:$B$40,MATCH('[1]Основной сток'!J189,'[1]Размерная сетка'!$A$2:$A$40,0)) &amp; " / US " &amp;
INDEX('[1]Размерная сетка'!$C$2:$C$40,MATCH('[1]Основной сток'!J189,'[1]Размерная сетка'!$A$2:$A$40,0)) &amp; " / см " &amp;
INDEX('[1]Размерная сетка'!$D$2:$D$40,MATCH('[1]Основной сток'!J189,'[1]Размерная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Photon Dust (W), DD1503-103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92" s="8">
        <f>'[1]Основной сток'!L189</f>
        <v>24000</v>
      </c>
      <c r="I192" s="1" t="str" cm="1">
        <f t="array" ref="I192">VLOOKUP(INDEX('[1]Основной сток'!H:H,ROW()-3),[1]Фотки!A:B,2,FALSE)</f>
        <v>https://i.ibb.co/Xxh034ZG/1-1.jpg|https://i.ibb.co/CpJ6kQYn/2.jpg|https://i.ibb.co/cK8TGjK1/3.jpg|https://i.ibb.co/99b1PqF2/4.jpg</v>
      </c>
      <c r="J192" t="s">
        <v>36</v>
      </c>
      <c r="K192" t="s">
        <v>37</v>
      </c>
      <c r="L192" t="str">
        <f t="shared" si="4"/>
        <v>Женская обувь</v>
      </c>
      <c r="M192" t="s">
        <v>38</v>
      </c>
      <c r="N192" t="s">
        <v>39</v>
      </c>
      <c r="O192" t="str">
        <f>PROPER('[1]Основной сток'!F189)</f>
        <v>Nike</v>
      </c>
      <c r="P192" t="str">
        <f>'[1]Основной сток'!M189</f>
        <v>Серый</v>
      </c>
      <c r="R192" t="s">
        <v>41</v>
      </c>
      <c r="S192" t="s">
        <v>42</v>
      </c>
      <c r="T192" t="str">
        <f t="shared" si="5"/>
        <v>Кроссовки и кеды</v>
      </c>
      <c r="U192">
        <f>'[1]Основной сток'!J189 - 1</f>
        <v>37</v>
      </c>
      <c r="V192" t="s">
        <v>43</v>
      </c>
      <c r="X192" t="s">
        <v>44</v>
      </c>
      <c r="Y192" t="s">
        <v>45</v>
      </c>
    </row>
    <row r="193" spans="1:25" x14ac:dyDescent="0.15">
      <c r="A193" s="6">
        <f>'[1]Основной сток'!A190</f>
        <v>2089849</v>
      </c>
      <c r="B193" t="s">
        <v>33</v>
      </c>
      <c r="D193" t="s">
        <v>34</v>
      </c>
      <c r="E193" t="s">
        <v>35</v>
      </c>
      <c r="F193" s="7" t="str">
        <f>PROPER(LEFT('[1]Основной сток'!I190,FIND(CHAR(10),'[1]Основной сток'!I190&amp;CHAR(10))-1))</f>
        <v>Jordan 1 Low Travis Scott Medium Olive</v>
      </c>
      <c r="G193" t="str">
        <f>F193 &amp; ", " &amp; '[1]Основной сток'!H190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сток'!J190 &amp; " / RU " &amp;
INDEX('[1]Размерная сетка'!$B$2:$B$40,MATCH('[1]Основной сток'!J190,'[1]Размерная сетка'!$A$2:$A$40,0)) &amp; " / US " &amp;
INDEX('[1]Размерная сетка'!$C$2:$C$40,MATCH('[1]Основной сток'!J190,'[1]Размерная сетка'!$A$2:$A$40,0)) &amp; " / см " &amp;
INDEX('[1]Размерная сетка'!$D$2:$D$40,MATCH('[1]Основной сток'!J190,'[1]Размерная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Low Travis Scott Medium Olive, DZ4137-106
• В наличии в Москве
• Оригинал, можно проверить при получении
• Совершенно новые, полный комплект
• Размер: EU 43 / RU 42 / US 9,5 / см 27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93" s="8">
        <f>'[1]Основной сток'!L190</f>
        <v>180000</v>
      </c>
      <c r="I193" s="1" t="str" cm="1">
        <f t="array" ref="I193">VLOOKUP(INDEX('[1]Основной сток'!H:H,ROW()-3),[1]Фотки!A:B,2,FALSE)</f>
        <v>https://i.ibb.co/Kxbfgdnc/1.jpg</v>
      </c>
      <c r="J193" t="s">
        <v>36</v>
      </c>
      <c r="K193" t="s">
        <v>37</v>
      </c>
      <c r="L193" t="str">
        <f t="shared" si="4"/>
        <v>Мужская обувь</v>
      </c>
      <c r="M193" t="s">
        <v>38</v>
      </c>
      <c r="N193" t="s">
        <v>39</v>
      </c>
      <c r="O193" t="str">
        <f>PROPER('[1]Основной сток'!F190)</f>
        <v>Jordan</v>
      </c>
      <c r="P193" t="str">
        <f>'[1]Основной сток'!M190</f>
        <v>Зелёный</v>
      </c>
      <c r="R193" t="s">
        <v>41</v>
      </c>
      <c r="S193" t="s">
        <v>42</v>
      </c>
      <c r="T193" t="str">
        <f t="shared" si="5"/>
        <v>Кроссовки</v>
      </c>
      <c r="U193">
        <f>'[1]Основной сток'!J190 - 1</f>
        <v>42</v>
      </c>
      <c r="V193" t="s">
        <v>43</v>
      </c>
      <c r="X193" t="s">
        <v>44</v>
      </c>
      <c r="Y193" t="s">
        <v>45</v>
      </c>
    </row>
    <row r="194" spans="1:25" x14ac:dyDescent="0.15">
      <c r="A194" s="6">
        <f>'[1]Основной сток'!A191</f>
        <v>2089850</v>
      </c>
      <c r="B194" t="s">
        <v>33</v>
      </c>
      <c r="D194" t="s">
        <v>34</v>
      </c>
      <c r="E194" t="s">
        <v>35</v>
      </c>
      <c r="F194" s="7" t="str">
        <f>PROPER(LEFT('[1]Основной сток'!I191,FIND(CHAR(10),'[1]Основной сток'!I191&amp;CHAR(10))-1))</f>
        <v>New Balance 1906R Sea Salt Marblehead</v>
      </c>
      <c r="G194" t="str">
        <f>F194 &amp; ", " &amp; '[1]Основной сток'!H191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сток'!J191 &amp; " / RU " &amp;
INDEX('[1]Размерная сетка'!$B$2:$B$40,MATCH('[1]Основной сток'!J191,'[1]Размерная сетка'!$A$2:$A$40,0)) &amp; " / US " &amp;
INDEX('[1]Размерная сетка'!$C$2:$C$40,MATCH('[1]Основной сток'!J191,'[1]Размерная сетка'!$A$2:$A$40,0)) &amp; " / см " &amp;
INDEX('[1]Размерная сетка'!$D$2:$D$40,MATCH('[1]Основной сток'!J191,'[1]Размерная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1906R Sea Salt Marblehead, M1906RP
• В наличии в Москве
• Оригинал, можно проверить при получении
• Совершенно новые, полный комплект
• Размер: EU 37,5 / RU 36,5 / US 6,5-7 / см 23,3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94" s="8">
        <f>'[1]Основной сток'!L191</f>
        <v>21500</v>
      </c>
      <c r="I194" s="1" t="str" cm="1">
        <f t="array" ref="I194">VLOOKUP(INDEX('[1]Основной сток'!H:H,ROW()-3),[1]Фотки!A:B,2,FALSE)</f>
        <v>https://i.ibb.co/zTnqQYwc/1-1.jpg</v>
      </c>
      <c r="J194" t="s">
        <v>36</v>
      </c>
      <c r="K194" t="s">
        <v>37</v>
      </c>
      <c r="L194" t="str">
        <f t="shared" si="4"/>
        <v>Женская обувь</v>
      </c>
      <c r="M194" t="s">
        <v>38</v>
      </c>
      <c r="N194" t="s">
        <v>39</v>
      </c>
      <c r="O194" t="str">
        <f>PROPER('[1]Основной сток'!F191)</f>
        <v>New Balance</v>
      </c>
      <c r="P194" t="str">
        <f>'[1]Основной сток'!M191</f>
        <v>Серый</v>
      </c>
      <c r="R194" t="s">
        <v>41</v>
      </c>
      <c r="S194" t="s">
        <v>42</v>
      </c>
      <c r="T194" t="str">
        <f t="shared" si="5"/>
        <v>Кроссовки и кеды</v>
      </c>
      <c r="U194">
        <f>'[1]Основной сток'!J191 - 1</f>
        <v>36.5</v>
      </c>
      <c r="V194" t="s">
        <v>43</v>
      </c>
      <c r="X194" t="s">
        <v>44</v>
      </c>
      <c r="Y194" t="s">
        <v>45</v>
      </c>
    </row>
    <row r="195" spans="1:25" x14ac:dyDescent="0.15">
      <c r="A195" s="6">
        <f>'[1]Основной сток'!A192</f>
        <v>2091541</v>
      </c>
      <c r="B195" t="s">
        <v>33</v>
      </c>
      <c r="D195" t="s">
        <v>34</v>
      </c>
      <c r="E195" t="s">
        <v>35</v>
      </c>
      <c r="F195" s="7" t="str">
        <f>PROPER(LEFT('[1]Основной сток'!I192,FIND(CHAR(10),'[1]Основной сток'!I192&amp;CHAR(10))-1))</f>
        <v>Adidas Samba Sporty And Rich Yellow</v>
      </c>
      <c r="G195" t="str">
        <f>F195 &amp; ", " &amp; '[1]Основной сток'!H192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сток'!J192 &amp; " / RU " &amp;
INDEX('[1]Размерная сетка'!$B$2:$B$40,MATCH('[1]Основной сток'!J192,'[1]Размерная сетка'!$A$2:$A$40,0)) &amp; " / US " &amp;
INDEX('[1]Размерная сетка'!$C$2:$C$40,MATCH('[1]Основной сток'!J192,'[1]Размерная сетка'!$A$2:$A$40,0)) &amp; " / см " &amp;
INDEX('[1]Размерная сетка'!$D$2:$D$40,MATCH('[1]Основной сток'!J192,'[1]Размерная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Sporty And Rich Yellow, IF5661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95" s="8">
        <f>'[1]Основной сток'!L192</f>
        <v>29000</v>
      </c>
      <c r="I195" s="1" t="str" cm="1">
        <f t="array" ref="I195">VLOOKUP(INDEX('[1]Основной сток'!H:H,ROW()-3),[1]Фотки!A:B,2,FALSE)</f>
        <v>https://i.ibb.co/fYhB00Tj/1.jpg|https://i.ibb.co/sJKgRHnn/2.jpg|https://i.ibb.co/fzryf1wB/3.jpg|https://i.ibb.co/204BQHjt/4.jpg</v>
      </c>
      <c r="J195" t="s">
        <v>36</v>
      </c>
      <c r="K195" t="s">
        <v>37</v>
      </c>
      <c r="L195" t="str">
        <f t="shared" si="4"/>
        <v>Женская обувь</v>
      </c>
      <c r="M195" t="s">
        <v>38</v>
      </c>
      <c r="N195" t="s">
        <v>39</v>
      </c>
      <c r="O195" t="str">
        <f>PROPER('[1]Основной сток'!F192)</f>
        <v>Adidas</v>
      </c>
      <c r="P195" t="str">
        <f>'[1]Основной сток'!M192</f>
        <v>Желтый</v>
      </c>
      <c r="R195" t="s">
        <v>41</v>
      </c>
      <c r="S195" t="s">
        <v>42</v>
      </c>
      <c r="T195" t="str">
        <f t="shared" si="5"/>
        <v>Кроссовки и кеды</v>
      </c>
      <c r="U195">
        <f>'[1]Основной сток'!J192 - 1</f>
        <v>37</v>
      </c>
      <c r="V195" t="s">
        <v>43</v>
      </c>
      <c r="X195" t="s">
        <v>44</v>
      </c>
      <c r="Y195" t="s">
        <v>45</v>
      </c>
    </row>
    <row r="196" spans="1:25" x14ac:dyDescent="0.15">
      <c r="A196" s="6">
        <f>'[1]Основной сток'!A193</f>
        <v>2091543</v>
      </c>
      <c r="B196" t="s">
        <v>33</v>
      </c>
      <c r="D196" t="s">
        <v>34</v>
      </c>
      <c r="E196" t="s">
        <v>35</v>
      </c>
      <c r="F196" s="7" t="str">
        <f>PROPER(LEFT('[1]Основной сток'!I193,FIND(CHAR(10),'[1]Основной сток'!I193&amp;CHAR(10))-1))</f>
        <v>Adidas Samba Sporty And Rich Yellow</v>
      </c>
      <c r="G196" t="str">
        <f>F196 &amp; ", " &amp; '[1]Основной сток'!H193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сток'!J193 &amp; " / RU " &amp;
INDEX('[1]Размерная сетка'!$B$2:$B$40,MATCH('[1]Основной сток'!J193,'[1]Размерная сетка'!$A$2:$A$40,0)) &amp; " / US " &amp;
INDEX('[1]Размерная сетка'!$C$2:$C$40,MATCH('[1]Основной сток'!J193,'[1]Размерная сетка'!$A$2:$A$40,0)) &amp; " / см " &amp;
INDEX('[1]Размерная сетка'!$D$2:$D$40,MATCH('[1]Основной сток'!J193,'[1]Размерная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Sporty And Rich Yellow, IF5661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96" s="8">
        <f>'[1]Основной сток'!L193</f>
        <v>29000</v>
      </c>
      <c r="I196" s="1" t="str" cm="1">
        <f t="array" ref="I196">VLOOKUP(INDEX('[1]Основной сток'!H:H,ROW()-3),[1]Фотки!A:B,2,FALSE)</f>
        <v>https://i.ibb.co/fYhB00Tj/1.jpg|https://i.ibb.co/sJKgRHnn/2.jpg|https://i.ibb.co/fzryf1wB/3.jpg|https://i.ibb.co/204BQHjt/4.jpg</v>
      </c>
      <c r="J196" t="s">
        <v>36</v>
      </c>
      <c r="K196" t="s">
        <v>37</v>
      </c>
      <c r="L196" t="str">
        <f t="shared" si="4"/>
        <v>Женская обувь</v>
      </c>
      <c r="M196" t="s">
        <v>38</v>
      </c>
      <c r="N196" t="s">
        <v>39</v>
      </c>
      <c r="O196" t="str">
        <f>PROPER('[1]Основной сток'!F193)</f>
        <v>Adidas</v>
      </c>
      <c r="P196" t="str">
        <f>'[1]Основной сток'!M193</f>
        <v>Желтый</v>
      </c>
      <c r="R196" t="s">
        <v>41</v>
      </c>
      <c r="S196" t="s">
        <v>42</v>
      </c>
      <c r="T196" t="str">
        <f t="shared" si="5"/>
        <v>Кроссовки и кеды</v>
      </c>
      <c r="U196">
        <f>'[1]Основной сток'!J193 - 1</f>
        <v>39</v>
      </c>
      <c r="V196" t="s">
        <v>43</v>
      </c>
      <c r="X196" t="s">
        <v>44</v>
      </c>
      <c r="Y196" t="s">
        <v>45</v>
      </c>
    </row>
    <row r="197" spans="1:25" x14ac:dyDescent="0.15">
      <c r="A197" s="6">
        <f>'[1]Основной сток'!A194</f>
        <v>2154384</v>
      </c>
      <c r="B197" t="s">
        <v>33</v>
      </c>
      <c r="D197" t="s">
        <v>34</v>
      </c>
      <c r="E197" t="s">
        <v>35</v>
      </c>
      <c r="F197" s="7" t="str">
        <f>PROPER(LEFT('[1]Основной сток'!I194,FIND(CHAR(10),'[1]Основной сток'!I194&amp;CHAR(10))-1))</f>
        <v>Nike Dunk Low Easter 2022 (W)</v>
      </c>
      <c r="G197" t="str">
        <f>F197 &amp; ", " &amp; '[1]Основной сток'!H194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сток'!J194 &amp; " / RU " &amp;
INDEX('[1]Размерная сетка'!$B$2:$B$40,MATCH('[1]Основной сток'!J194,'[1]Размерная сетка'!$A$2:$A$40,0)) &amp; " / US " &amp;
INDEX('[1]Размерная сетка'!$C$2:$C$40,MATCH('[1]Основной сток'!J194,'[1]Размерная сетка'!$A$2:$A$40,0)) &amp; " / см " &amp;
INDEX('[1]Размерная сетка'!$D$2:$D$40,MATCH('[1]Основной сток'!J194,'[1]Размерная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Easter 2022 (W), DD1503-001
• В наличии в Москве
• Оригинал, можно проверить при получении
• Совершенно новые, полный комплект
• Размер: EU 37,5 / RU 36,5 / US 6,5-7 / см 23,3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97" s="8">
        <f>'[1]Основной сток'!L194</f>
        <v>12500</v>
      </c>
      <c r="I197" s="1" t="str" cm="1">
        <f t="array" ref="I197">VLOOKUP(INDEX('[1]Основной сток'!H:H,ROW()-3),[1]Фотки!A:B,2,FALSE)</f>
        <v>https://i.ibb.co/spL5tx4t/1-1.jpg</v>
      </c>
      <c r="J197" t="s">
        <v>36</v>
      </c>
      <c r="K197" t="s">
        <v>37</v>
      </c>
      <c r="L197" t="str">
        <f t="shared" si="4"/>
        <v>Женская обувь</v>
      </c>
      <c r="M197" t="s">
        <v>38</v>
      </c>
      <c r="N197" t="s">
        <v>39</v>
      </c>
      <c r="O197" t="str">
        <f>PROPER('[1]Основной сток'!F194)</f>
        <v>Nike</v>
      </c>
      <c r="P197" t="str">
        <f>'[1]Основной сток'!M194</f>
        <v>Розовый</v>
      </c>
      <c r="R197" t="s">
        <v>41</v>
      </c>
      <c r="S197" t="s">
        <v>42</v>
      </c>
      <c r="T197" t="str">
        <f t="shared" si="5"/>
        <v>Кроссовки и кеды</v>
      </c>
      <c r="U197">
        <f>'[1]Основной сток'!J194 - 1</f>
        <v>36.5</v>
      </c>
      <c r="V197" t="s">
        <v>43</v>
      </c>
      <c r="X197" t="s">
        <v>44</v>
      </c>
      <c r="Y197" t="s">
        <v>45</v>
      </c>
    </row>
    <row r="198" spans="1:25" x14ac:dyDescent="0.15">
      <c r="A198" s="6">
        <f>'[1]Основной сток'!A195</f>
        <v>2170542</v>
      </c>
      <c r="B198" t="s">
        <v>33</v>
      </c>
      <c r="D198" t="s">
        <v>34</v>
      </c>
      <c r="E198" t="s">
        <v>35</v>
      </c>
      <c r="F198" s="7" t="str">
        <f>PROPER(LEFT('[1]Основной сток'!I195,FIND(CHAR(10),'[1]Основной сток'!I195&amp;CHAR(10))-1))</f>
        <v>Adidas Gazelle «Collegiate Green Pink»</v>
      </c>
      <c r="G198" t="str">
        <f>F198 &amp; ", " &amp; '[1]Основной сток'!H195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сток'!J195 &amp; " / RU " &amp;
INDEX('[1]Размерная сетка'!$B$2:$B$40,MATCH('[1]Основной сток'!J195,'[1]Размерная сетка'!$A$2:$A$40,0)) &amp; " / US " &amp;
INDEX('[1]Размерная сетка'!$C$2:$C$40,MATCH('[1]Основной сток'!J195,'[1]Размерная сетка'!$A$2:$A$40,0)) &amp; " / см " &amp;
INDEX('[1]Размерная сетка'!$D$2:$D$40,MATCH('[1]Основной сток'!J195,'[1]Размерная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«Collegiate Green Pink», IG5929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98" s="8">
        <f>'[1]Основной сток'!L195</f>
        <v>24000</v>
      </c>
      <c r="I198" s="1" t="str" cm="1">
        <f t="array" ref="I198">VLOOKUP(INDEX('[1]Основной сток'!H:H,ROW()-3),[1]Фотки!A:B,2,FALSE)</f>
        <v>https://i.ibb.co/1tS80vWw/1.jpg|https://i.ibb.co/FqWSN2sx/2.jpg|https://i.ibb.co/3V0whNk/3.jpg|https://i.ibb.co/zCwbRGP/4.jpg</v>
      </c>
      <c r="J198" t="s">
        <v>36</v>
      </c>
      <c r="K198" t="s">
        <v>37</v>
      </c>
      <c r="L198" t="str">
        <f t="shared" ref="L198:L261" si="6">IF(U198&lt;=40,"Женская обувь","Мужская обувь")</f>
        <v>Женская обувь</v>
      </c>
      <c r="M198" t="s">
        <v>38</v>
      </c>
      <c r="N198" t="s">
        <v>39</v>
      </c>
      <c r="O198" t="str">
        <f>PROPER('[1]Основной сток'!F195)</f>
        <v>Adidas</v>
      </c>
      <c r="P198" t="str">
        <f>'[1]Основной сток'!M195</f>
        <v>Зелёный</v>
      </c>
      <c r="R198" t="s">
        <v>41</v>
      </c>
      <c r="S198" t="s">
        <v>42</v>
      </c>
      <c r="T198" t="str">
        <f t="shared" si="5"/>
        <v>Кроссовки и кеды</v>
      </c>
      <c r="U198">
        <f>'[1]Основной сток'!J195 - 1</f>
        <v>39</v>
      </c>
      <c r="V198" t="s">
        <v>43</v>
      </c>
      <c r="X198" t="s">
        <v>44</v>
      </c>
      <c r="Y198" t="s">
        <v>45</v>
      </c>
    </row>
    <row r="199" spans="1:25" x14ac:dyDescent="0.15">
      <c r="A199" s="6">
        <f>'[1]Основной сток'!A196</f>
        <v>2170558</v>
      </c>
      <c r="B199" t="s">
        <v>33</v>
      </c>
      <c r="D199" t="s">
        <v>34</v>
      </c>
      <c r="E199" t="s">
        <v>35</v>
      </c>
      <c r="F199" s="7" t="str">
        <f>PROPER(LEFT('[1]Основной сток'!I196,FIND(CHAR(10),'[1]Основной сток'!I196&amp;CHAR(10))-1))</f>
        <v>New Balance 1906R Silver</v>
      </c>
      <c r="G199" t="str">
        <f>F199 &amp; ", " &amp; '[1]Основной сток'!H196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сток'!J196 &amp; " / RU " &amp;
INDEX('[1]Размерная сетка'!$B$2:$B$40,MATCH('[1]Основной сток'!J196,'[1]Размерная сетка'!$A$2:$A$40,0)) &amp; " / US " &amp;
INDEX('[1]Размерная сетка'!$C$2:$C$40,MATCH('[1]Основной сток'!J196,'[1]Размерная сетка'!$A$2:$A$40,0)) &amp; " / см " &amp;
INDEX('[1]Размерная сетка'!$D$2:$D$40,MATCH('[1]Основной сток'!J196,'[1]Размерная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1906R Silver, M1906RCB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199" s="8">
        <f>'[1]Основной сток'!L196</f>
        <v>20000</v>
      </c>
      <c r="I199" s="1" t="str" cm="1">
        <f t="array" ref="I199">VLOOKUP(INDEX('[1]Основной сток'!H:H,ROW()-3),[1]Фотки!A:B,2,FALSE)</f>
        <v>https://i.ibb.co/tTKxCdsH/1-1.jpg|https://i.ibb.co/5gZHq1Mm/2.jpg|https://i.ibb.co/3y0hgRCL/3.jpg|https://i.ibb.co/mC3jkdqX/4.jpg</v>
      </c>
      <c r="J199" t="s">
        <v>36</v>
      </c>
      <c r="K199" t="s">
        <v>37</v>
      </c>
      <c r="L199" t="str">
        <f t="shared" si="6"/>
        <v>Женская обувь</v>
      </c>
      <c r="M199" t="s">
        <v>38</v>
      </c>
      <c r="N199" t="s">
        <v>39</v>
      </c>
      <c r="O199" t="str">
        <f>PROPER('[1]Основной сток'!F196)</f>
        <v>New Balance</v>
      </c>
      <c r="P199" t="str">
        <f>'[1]Основной сток'!M196</f>
        <v>Серый</v>
      </c>
      <c r="R199" t="s">
        <v>41</v>
      </c>
      <c r="S199" t="s">
        <v>42</v>
      </c>
      <c r="T199" t="str">
        <f t="shared" ref="T199:T262" si="7">IF(L199="Мужская обувь","Кроссовки","Кроссовки и кеды")</f>
        <v>Кроссовки и кеды</v>
      </c>
      <c r="U199">
        <f>'[1]Основной сток'!J196 - 1</f>
        <v>37.5</v>
      </c>
      <c r="V199" t="s">
        <v>43</v>
      </c>
      <c r="X199" t="s">
        <v>44</v>
      </c>
      <c r="Y199" t="s">
        <v>45</v>
      </c>
    </row>
    <row r="200" spans="1:25" x14ac:dyDescent="0.15">
      <c r="A200" s="6">
        <f>'[1]Основной сток'!A197</f>
        <v>2646632</v>
      </c>
      <c r="B200" t="s">
        <v>33</v>
      </c>
      <c r="D200" t="s">
        <v>34</v>
      </c>
      <c r="E200" t="s">
        <v>35</v>
      </c>
      <c r="F200" s="7" t="str">
        <f>PROPER(LEFT('[1]Основной сток'!I197,FIND(CHAR(10),'[1]Основной сток'!I197&amp;CHAR(10))-1))</f>
        <v>Adidas Samba Og “White Green”</v>
      </c>
      <c r="G200" t="str">
        <f>F200 &amp; ", " &amp; '[1]Основной сток'!H197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сток'!J197 &amp; " / RU " &amp;
INDEX('[1]Размерная сетка'!$B$2:$B$40,MATCH('[1]Основной сток'!J197,'[1]Размерная сетка'!$A$2:$A$40,0)) &amp; " / US " &amp;
INDEX('[1]Размерная сетка'!$C$2:$C$40,MATCH('[1]Основной сток'!J197,'[1]Размерная сетка'!$A$2:$A$40,0)) &amp; " / см " &amp;
INDEX('[1]Размерная сетка'!$D$2:$D$40,MATCH('[1]Основной сток'!J197,'[1]Размерная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Og “White Green”, IG1024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00" s="8">
        <f>'[1]Основной сток'!L197</f>
        <v>18000</v>
      </c>
      <c r="I200" s="1" t="str" cm="1">
        <f t="array" ref="I200">VLOOKUP(INDEX('[1]Основной сток'!H:H,ROW()-3),[1]Фотки!A:B,2,FALSE)</f>
        <v>https://i.ibb.co/M4C7wvF/1-1.jpg|https://i.ibb.co/MDkJvnKs/2.jpg|https://i.ibb.co/5h81CF5t/3.jpg|https://i.ibb.co/GyHVGDf/4.jpg</v>
      </c>
      <c r="J200" t="s">
        <v>36</v>
      </c>
      <c r="K200" t="s">
        <v>37</v>
      </c>
      <c r="L200" t="str">
        <f t="shared" si="6"/>
        <v>Женская обувь</v>
      </c>
      <c r="M200" t="s">
        <v>38</v>
      </c>
      <c r="N200" t="s">
        <v>39</v>
      </c>
      <c r="O200" t="str">
        <f>PROPER('[1]Основной сток'!F197)</f>
        <v>Adidas</v>
      </c>
      <c r="P200" t="str">
        <f>'[1]Основной сток'!M197</f>
        <v>Зелёный</v>
      </c>
      <c r="R200" t="s">
        <v>41</v>
      </c>
      <c r="S200" t="s">
        <v>42</v>
      </c>
      <c r="T200" t="str">
        <f t="shared" si="7"/>
        <v>Кроссовки и кеды</v>
      </c>
      <c r="U200">
        <f>'[1]Основной сток'!J197 - 1</f>
        <v>37</v>
      </c>
      <c r="V200" t="s">
        <v>43</v>
      </c>
      <c r="X200" t="s">
        <v>44</v>
      </c>
      <c r="Y200" t="s">
        <v>45</v>
      </c>
    </row>
    <row r="201" spans="1:25" x14ac:dyDescent="0.15">
      <c r="A201" s="6">
        <f>'[1]Основной сток'!A198</f>
        <v>2646647</v>
      </c>
      <c r="B201" t="s">
        <v>33</v>
      </c>
      <c r="D201" t="s">
        <v>34</v>
      </c>
      <c r="E201" t="s">
        <v>35</v>
      </c>
      <c r="F201" s="7" t="str">
        <f>PROPER(LEFT('[1]Основной сток'!I198,FIND(CHAR(10),'[1]Основной сток'!I198&amp;CHAR(10))-1))</f>
        <v>Adidas Samba Og “White Green”</v>
      </c>
      <c r="G201" t="str">
        <f>F201 &amp; ", " &amp; '[1]Основной сток'!H198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сток'!J198 &amp; " / RU " &amp;
INDEX('[1]Размерная сетка'!$B$2:$B$40,MATCH('[1]Основной сток'!J198,'[1]Размерная сетка'!$A$2:$A$40,0)) &amp; " / US " &amp;
INDEX('[1]Размерная сетка'!$C$2:$C$40,MATCH('[1]Основной сток'!J198,'[1]Размерная сетка'!$A$2:$A$40,0)) &amp; " / см " &amp;
INDEX('[1]Размерная сетка'!$D$2:$D$40,MATCH('[1]Основной сток'!J198,'[1]Размерная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Og “White Green”, IG1024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01" s="8">
        <f>'[1]Основной сток'!L198</f>
        <v>18000</v>
      </c>
      <c r="I201" s="1" t="str" cm="1">
        <f t="array" ref="I201">VLOOKUP(INDEX('[1]Основной сток'!H:H,ROW()-3),[1]Фотки!A:B,2,FALSE)</f>
        <v>https://i.ibb.co/M4C7wvF/1-1.jpg|https://i.ibb.co/MDkJvnKs/2.jpg|https://i.ibb.co/5h81CF5t/3.jpg|https://i.ibb.co/GyHVGDf/4.jpg</v>
      </c>
      <c r="J201" t="s">
        <v>36</v>
      </c>
      <c r="K201" t="s">
        <v>37</v>
      </c>
      <c r="L201" t="str">
        <f t="shared" si="6"/>
        <v>Женская обувь</v>
      </c>
      <c r="M201" t="s">
        <v>38</v>
      </c>
      <c r="N201" t="s">
        <v>39</v>
      </c>
      <c r="O201" t="str">
        <f>PROPER('[1]Основной сток'!F198)</f>
        <v>Adidas</v>
      </c>
      <c r="P201" t="str">
        <f>'[1]Основной сток'!M198</f>
        <v>Зелёный</v>
      </c>
      <c r="R201" t="s">
        <v>41</v>
      </c>
      <c r="S201" t="s">
        <v>42</v>
      </c>
      <c r="T201" t="str">
        <f t="shared" si="7"/>
        <v>Кроссовки и кеды</v>
      </c>
      <c r="U201">
        <f>'[1]Основной сток'!J198 - 1</f>
        <v>38</v>
      </c>
      <c r="V201" t="s">
        <v>43</v>
      </c>
      <c r="X201" t="s">
        <v>44</v>
      </c>
      <c r="Y201" t="s">
        <v>45</v>
      </c>
    </row>
    <row r="202" spans="1:25" x14ac:dyDescent="0.15">
      <c r="A202" s="6">
        <f>'[1]Основной сток'!A199</f>
        <v>2646676</v>
      </c>
      <c r="B202" t="s">
        <v>33</v>
      </c>
      <c r="D202" t="s">
        <v>34</v>
      </c>
      <c r="E202" t="s">
        <v>35</v>
      </c>
      <c r="F202" s="7" t="str">
        <f>PROPER(LEFT('[1]Основной сток'!I199,FIND(CHAR(10),'[1]Основной сток'!I199&amp;CHAR(10))-1))</f>
        <v>Adidas Samba Black And White</v>
      </c>
      <c r="G202" t="str">
        <f>F202 &amp; ", " &amp; '[1]Основной сток'!H199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сток'!J199 &amp; " / RU " &amp;
INDEX('[1]Размерная сетка'!$B$2:$B$40,MATCH('[1]Основной сток'!J199,'[1]Размерная сетка'!$A$2:$A$40,0)) &amp; " / US " &amp;
INDEX('[1]Размерная сетка'!$C$2:$C$40,MATCH('[1]Основной сток'!J199,'[1]Размерная сетка'!$A$2:$A$40,0)) &amp; " / см " &amp;
INDEX('[1]Размерная сетка'!$D$2:$D$40,MATCH('[1]Основной сток'!J199,'[1]Размерная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Black And White, IE5836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02" s="8">
        <f>'[1]Основной сток'!L199</f>
        <v>19990</v>
      </c>
      <c r="I202" s="1" t="str" cm="1">
        <f t="array" ref="I202">VLOOKUP(INDEX('[1]Основной сток'!H:H,ROW()-3),[1]Фотки!A:B,2,FALSE)</f>
        <v>https://i.ibb.co/pjnKNx17/1.jpg|https://i.ibb.co/cKZ6f140/2.jpg|https://i.ibb.co/MxYxVPx7/3.jpg|https://i.ibb.co/5h2t5jWM/4.jpg</v>
      </c>
      <c r="J202" t="s">
        <v>36</v>
      </c>
      <c r="K202" t="s">
        <v>37</v>
      </c>
      <c r="L202" t="str">
        <f t="shared" si="6"/>
        <v>Женская обувь</v>
      </c>
      <c r="M202" t="s">
        <v>38</v>
      </c>
      <c r="N202" t="s">
        <v>39</v>
      </c>
      <c r="O202" t="str">
        <f>PROPER('[1]Основной сток'!F199)</f>
        <v>Adidas</v>
      </c>
      <c r="P202" t="str">
        <f>'[1]Основной сток'!M199</f>
        <v>Черный</v>
      </c>
      <c r="R202" t="s">
        <v>41</v>
      </c>
      <c r="S202" t="s">
        <v>42</v>
      </c>
      <c r="T202" t="str">
        <f t="shared" si="7"/>
        <v>Кроссовки и кеды</v>
      </c>
      <c r="U202">
        <f>'[1]Основной сток'!J199 - 1</f>
        <v>37.5</v>
      </c>
      <c r="V202" t="s">
        <v>43</v>
      </c>
      <c r="X202" t="s">
        <v>44</v>
      </c>
      <c r="Y202" t="s">
        <v>45</v>
      </c>
    </row>
    <row r="203" spans="1:25" x14ac:dyDescent="0.15">
      <c r="A203" s="6">
        <f>'[1]Основной сток'!A200</f>
        <v>3015128</v>
      </c>
      <c r="B203" t="s">
        <v>33</v>
      </c>
      <c r="D203" t="s">
        <v>34</v>
      </c>
      <c r="E203" t="s">
        <v>35</v>
      </c>
      <c r="F203" s="7" t="str">
        <f>PROPER(LEFT('[1]Основной сток'!I200,FIND(CHAR(10),'[1]Основной сток'!I200&amp;CHAR(10))-1))</f>
        <v>Adidas Samba Og "Maroon"</v>
      </c>
      <c r="G203" t="str">
        <f>F203 &amp; ", " &amp; '[1]Основной сток'!H200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сток'!J200 &amp; " / RU " &amp;
INDEX('[1]Размерная сетка'!$B$2:$B$40,MATCH('[1]Основной сток'!J200,'[1]Размерная сетка'!$A$2:$A$40,0)) &amp; " / US " &amp;
INDEX('[1]Размерная сетка'!$C$2:$C$40,MATCH('[1]Основной сток'!J200,'[1]Размерная сетка'!$A$2:$A$40,0)) &amp; " / см " &amp;
INDEX('[1]Размерная сетка'!$D$2:$D$40,MATCH('[1]Основной сток'!J200,'[1]Размерная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Og "Maroon", ID0477
• В наличии в Москве
• Оригинал, можно проверить при получении
• Совершенно новые, полный комплект
• Размер: EU 36,5 / RU 35,5 / US 6 / см 22,7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03" s="8">
        <f>'[1]Основной сток'!L200</f>
        <v>37900</v>
      </c>
      <c r="I203" s="1" t="str" cm="1">
        <f t="array" ref="I203">VLOOKUP(INDEX('[1]Основной сток'!H:H,ROW()-3),[1]Фотки!A:B,2,FALSE)</f>
        <v>https://i.ibb.co/s9xQ51zQ/1.jpg|https://i.ibb.co/MkGD5Pt4/2.jpg|https://i.ibb.co/zhND30rN/3.jpg|https://i.ibb.co/PZBW7CVS/4.jpg</v>
      </c>
      <c r="J203" t="s">
        <v>36</v>
      </c>
      <c r="K203" t="s">
        <v>37</v>
      </c>
      <c r="L203" t="str">
        <f t="shared" si="6"/>
        <v>Женская обувь</v>
      </c>
      <c r="M203" t="s">
        <v>38</v>
      </c>
      <c r="N203" t="s">
        <v>39</v>
      </c>
      <c r="O203" t="str">
        <f>PROPER('[1]Основной сток'!F200)</f>
        <v>Adidas</v>
      </c>
      <c r="P203" t="str">
        <f>'[1]Основной сток'!M200</f>
        <v>Красный</v>
      </c>
      <c r="R203" t="s">
        <v>41</v>
      </c>
      <c r="S203" t="s">
        <v>42</v>
      </c>
      <c r="T203" t="str">
        <f t="shared" si="7"/>
        <v>Кроссовки и кеды</v>
      </c>
      <c r="U203">
        <f>'[1]Основной сток'!J200 - 1</f>
        <v>35.5</v>
      </c>
      <c r="V203" t="s">
        <v>43</v>
      </c>
      <c r="X203" t="s">
        <v>44</v>
      </c>
      <c r="Y203" t="s">
        <v>45</v>
      </c>
    </row>
    <row r="204" spans="1:25" x14ac:dyDescent="0.15">
      <c r="A204" s="6">
        <f>'[1]Основной сток'!A201</f>
        <v>3057279</v>
      </c>
      <c r="B204" t="s">
        <v>33</v>
      </c>
      <c r="D204" t="s">
        <v>34</v>
      </c>
      <c r="E204" t="s">
        <v>35</v>
      </c>
      <c r="F204" s="7" t="str">
        <f>PROPER(LEFT('[1]Основной сток'!I201,FIND(CHAR(10),'[1]Основной сток'!I201&amp;CHAR(10))-1))</f>
        <v>Adidas Samba Og “White Black Gum”</v>
      </c>
      <c r="G204" t="str">
        <f>F204 &amp; ", " &amp; '[1]Основной сток'!H201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сток'!J201 &amp; " / RU " &amp;
INDEX('[1]Размерная сетка'!$B$2:$B$40,MATCH('[1]Основной сток'!J201,'[1]Размерная сетка'!$A$2:$A$40,0)) &amp; " / US " &amp;
INDEX('[1]Размерная сетка'!$C$2:$C$40,MATCH('[1]Основной сток'!J201,'[1]Размерная сетка'!$A$2:$A$40,0)) &amp; " / см " &amp;
INDEX('[1]Размерная сетка'!$D$2:$D$40,MATCH('[1]Основной сток'!J201,'[1]Размерная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Og “White Black Gum”, B75806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04" s="8">
        <f>'[1]Основной сток'!L201</f>
        <v>19000</v>
      </c>
      <c r="I204" s="1" t="str" cm="1">
        <f t="array" ref="I204">VLOOKUP(INDEX('[1]Основной сток'!H:H,ROW()-3),[1]Фотки!A:B,2,FALSE)</f>
        <v>https://i.ibb.co/V0LxRH88/1-1.jpg|https://i.ibb.co/Ccghwnn/2.jpg|https://i.ibb.co/3yzdn8HJ/3.jpg|https://i.ibb.co/4RBysR3m/4.jpg</v>
      </c>
      <c r="J204" t="s">
        <v>36</v>
      </c>
      <c r="K204" t="s">
        <v>37</v>
      </c>
      <c r="L204" t="str">
        <f t="shared" si="6"/>
        <v>Женская обувь</v>
      </c>
      <c r="M204" t="s">
        <v>38</v>
      </c>
      <c r="N204" t="s">
        <v>39</v>
      </c>
      <c r="O204" t="str">
        <f>PROPER('[1]Основной сток'!F201)</f>
        <v>Adidas</v>
      </c>
      <c r="P204" t="str">
        <f>'[1]Основной сток'!M201</f>
        <v>Коричневый</v>
      </c>
      <c r="R204" t="s">
        <v>41</v>
      </c>
      <c r="S204" t="s">
        <v>42</v>
      </c>
      <c r="T204" t="str">
        <f t="shared" si="7"/>
        <v>Кроссовки и кеды</v>
      </c>
      <c r="U204">
        <f>'[1]Основной сток'!J201 - 1</f>
        <v>37</v>
      </c>
      <c r="V204" t="s">
        <v>43</v>
      </c>
      <c r="X204" t="s">
        <v>44</v>
      </c>
      <c r="Y204" t="s">
        <v>45</v>
      </c>
    </row>
    <row r="205" spans="1:25" x14ac:dyDescent="0.15">
      <c r="A205" s="6">
        <f>'[1]Основной сток'!A202</f>
        <v>3057295</v>
      </c>
      <c r="B205" t="s">
        <v>33</v>
      </c>
      <c r="D205" t="s">
        <v>34</v>
      </c>
      <c r="E205" t="s">
        <v>35</v>
      </c>
      <c r="F205" s="7" t="str">
        <f>PROPER(LEFT('[1]Основной сток'!I202,FIND(CHAR(10),'[1]Основной сток'!I202&amp;CHAR(10))-1))</f>
        <v>Nike Dunk Low Photon Dust (W)</v>
      </c>
      <c r="G205" t="str">
        <f>F205 &amp; ", " &amp; '[1]Основной сток'!H202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сток'!J202 &amp; " / RU " &amp;
INDEX('[1]Размерная сетка'!$B$2:$B$40,MATCH('[1]Основной сток'!J202,'[1]Размерная сетка'!$A$2:$A$40,0)) &amp; " / US " &amp;
INDEX('[1]Размерная сетка'!$C$2:$C$40,MATCH('[1]Основной сток'!J202,'[1]Размерная сетка'!$A$2:$A$40,0)) &amp; " / см " &amp;
INDEX('[1]Размерная сетка'!$D$2:$D$40,MATCH('[1]Основной сток'!J202,'[1]Размерная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Photon Dust (W), DD1503-103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05" s="8">
        <f>'[1]Основной сток'!L202</f>
        <v>24000</v>
      </c>
      <c r="I205" s="1" t="str" cm="1">
        <f t="array" ref="I205">VLOOKUP(INDEX('[1]Основной сток'!H:H,ROW()-3),[1]Фотки!A:B,2,FALSE)</f>
        <v>https://i.ibb.co/Xxh034ZG/1-1.jpg|https://i.ibb.co/CpJ6kQYn/2.jpg|https://i.ibb.co/cK8TGjK1/3.jpg|https://i.ibb.co/99b1PqF2/4.jpg</v>
      </c>
      <c r="J205" t="s">
        <v>36</v>
      </c>
      <c r="K205" t="s">
        <v>37</v>
      </c>
      <c r="L205" t="str">
        <f t="shared" si="6"/>
        <v>Женская обувь</v>
      </c>
      <c r="M205" t="s">
        <v>38</v>
      </c>
      <c r="N205" t="s">
        <v>39</v>
      </c>
      <c r="O205" t="str">
        <f>PROPER('[1]Основной сток'!F202)</f>
        <v>Nike</v>
      </c>
      <c r="P205" t="str">
        <f>'[1]Основной сток'!M202</f>
        <v>Серый</v>
      </c>
      <c r="R205" t="s">
        <v>41</v>
      </c>
      <c r="S205" t="s">
        <v>42</v>
      </c>
      <c r="T205" t="str">
        <f t="shared" si="7"/>
        <v>Кроссовки и кеды</v>
      </c>
      <c r="U205">
        <f>'[1]Основной сток'!J202 - 1</f>
        <v>37.5</v>
      </c>
      <c r="V205" t="s">
        <v>43</v>
      </c>
      <c r="X205" t="s">
        <v>44</v>
      </c>
      <c r="Y205" t="s">
        <v>45</v>
      </c>
    </row>
    <row r="206" spans="1:25" x14ac:dyDescent="0.15">
      <c r="A206" s="6">
        <f>'[1]Основной сток'!A203</f>
        <v>3077066</v>
      </c>
      <c r="B206" t="s">
        <v>33</v>
      </c>
      <c r="D206" t="s">
        <v>34</v>
      </c>
      <c r="E206" t="s">
        <v>35</v>
      </c>
      <c r="F206" s="7" t="str">
        <f>PROPER(LEFT('[1]Основной сток'!I203,FIND(CHAR(10),'[1]Основной сток'!I203&amp;CHAR(10))-1))</f>
        <v>Adidas Samba Og "Maroon"</v>
      </c>
      <c r="G206" t="str">
        <f>F206 &amp; ", " &amp; '[1]Основной сток'!H203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сток'!J203 &amp; " / RU " &amp;
INDEX('[1]Размерная сетка'!$B$2:$B$40,MATCH('[1]Основной сток'!J203,'[1]Размерная сетка'!$A$2:$A$40,0)) &amp; " / US " &amp;
INDEX('[1]Размерная сетка'!$C$2:$C$40,MATCH('[1]Основной сток'!J203,'[1]Размерная сетка'!$A$2:$A$40,0)) &amp; " / см " &amp;
INDEX('[1]Размерная сетка'!$D$2:$D$40,MATCH('[1]Основной сток'!J203,'[1]Размерная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Og "Maroon", ID0477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06" s="8">
        <f>'[1]Основной сток'!L203</f>
        <v>37900</v>
      </c>
      <c r="I206" s="1" t="str" cm="1">
        <f t="array" ref="I206">VLOOKUP(INDEX('[1]Основной сток'!H:H,ROW()-3),[1]Фотки!A:B,2,FALSE)</f>
        <v>https://i.ibb.co/s9xQ51zQ/1.jpg|https://i.ibb.co/MkGD5Pt4/2.jpg|https://i.ibb.co/zhND30rN/3.jpg|https://i.ibb.co/PZBW7CVS/4.jpg</v>
      </c>
      <c r="J206" t="s">
        <v>36</v>
      </c>
      <c r="K206" t="s">
        <v>37</v>
      </c>
      <c r="L206" t="str">
        <f t="shared" si="6"/>
        <v>Женская обувь</v>
      </c>
      <c r="M206" t="s">
        <v>38</v>
      </c>
      <c r="N206" t="s">
        <v>39</v>
      </c>
      <c r="O206" t="str">
        <f>PROPER('[1]Основной сток'!F203)</f>
        <v>Adidas</v>
      </c>
      <c r="P206" t="str">
        <f>'[1]Основной сток'!M203</f>
        <v>Красный</v>
      </c>
      <c r="R206" t="s">
        <v>41</v>
      </c>
      <c r="S206" t="s">
        <v>42</v>
      </c>
      <c r="T206" t="str">
        <f t="shared" si="7"/>
        <v>Кроссовки и кеды</v>
      </c>
      <c r="U206">
        <f>'[1]Основной сток'!J203 - 1</f>
        <v>39</v>
      </c>
      <c r="V206" t="s">
        <v>43</v>
      </c>
      <c r="X206" t="s">
        <v>44</v>
      </c>
      <c r="Y206" t="s">
        <v>45</v>
      </c>
    </row>
    <row r="207" spans="1:25" x14ac:dyDescent="0.15">
      <c r="A207" s="6">
        <f>'[1]Основной сток'!A204</f>
        <v>3080265</v>
      </c>
      <c r="B207" t="s">
        <v>33</v>
      </c>
      <c r="D207" t="s">
        <v>34</v>
      </c>
      <c r="E207" t="s">
        <v>35</v>
      </c>
      <c r="F207" s="7" t="str">
        <f>PROPER(LEFT('[1]Основной сток'!I204,FIND(CHAR(10),'[1]Основной сток'!I204&amp;CHAR(10))-1))</f>
        <v>Sporty &amp; Rich X Handball Spezial 'Pink Gum'</v>
      </c>
      <c r="G207" t="str">
        <f>F207 &amp; ", " &amp; '[1]Основной сток'!H204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сток'!J204 &amp; " / RU " &amp;
INDEX('[1]Размерная сетка'!$B$2:$B$40,MATCH('[1]Основной сток'!J204,'[1]Размерная сетка'!$A$2:$A$40,0)) &amp; " / US " &amp;
INDEX('[1]Размерная сетка'!$C$2:$C$40,MATCH('[1]Основной сток'!J204,'[1]Размерная сетка'!$A$2:$A$40,0)) &amp; " / см " &amp;
INDEX('[1]Размерная сетка'!$D$2:$D$40,MATCH('[1]Основной сток'!J204,'[1]Размерная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Sporty &amp; Rich X Handball Spezial 'Pink Gum', IH2610
• В наличии в Москве
• Оригинал, можно проверить при получении
• Совершенно новые, полный комплект
• Размер: EU 36,5 / RU 35,5 / US 6 / см 22,7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07" s="8">
        <f>'[1]Основной сток'!L204</f>
        <v>30000</v>
      </c>
      <c r="I207" s="1" t="str" cm="1">
        <f t="array" ref="I207">VLOOKUP(INDEX('[1]Основной сток'!H:H,ROW()-3),[1]Фотки!A:B,2,FALSE)</f>
        <v>https://i.ibb.co/B2P4wpSv/1-1.jpg|https://i.ibb.co/Y4v05bQP/2.jpg|https://i.ibb.co/9HQzyVqH/3.jpg|https://i.ibb.co/sv5M8XMJ/4.jpg</v>
      </c>
      <c r="J207" t="s">
        <v>36</v>
      </c>
      <c r="K207" t="s">
        <v>37</v>
      </c>
      <c r="L207" t="str">
        <f t="shared" si="6"/>
        <v>Женская обувь</v>
      </c>
      <c r="M207" t="s">
        <v>38</v>
      </c>
      <c r="N207" t="s">
        <v>39</v>
      </c>
      <c r="O207" t="str">
        <f>PROPER('[1]Основной сток'!F204)</f>
        <v>Adidas</v>
      </c>
      <c r="P207" t="str">
        <f>'[1]Основной сток'!M204</f>
        <v>Розовый</v>
      </c>
      <c r="R207" t="s">
        <v>41</v>
      </c>
      <c r="S207" t="s">
        <v>42</v>
      </c>
      <c r="T207" t="str">
        <f t="shared" si="7"/>
        <v>Кроссовки и кеды</v>
      </c>
      <c r="U207">
        <f>'[1]Основной сток'!J204 - 1</f>
        <v>35.5</v>
      </c>
      <c r="V207" t="s">
        <v>43</v>
      </c>
      <c r="X207" t="s">
        <v>44</v>
      </c>
      <c r="Y207" t="s">
        <v>45</v>
      </c>
    </row>
    <row r="208" spans="1:25" x14ac:dyDescent="0.15">
      <c r="A208" s="6">
        <f>'[1]Основной сток'!A205</f>
        <v>3080266</v>
      </c>
      <c r="B208" t="s">
        <v>33</v>
      </c>
      <c r="D208" t="s">
        <v>34</v>
      </c>
      <c r="E208" t="s">
        <v>35</v>
      </c>
      <c r="F208" s="7" t="str">
        <f>PROPER(LEFT('[1]Основной сток'!I205,FIND(CHAR(10),'[1]Основной сток'!I205&amp;CHAR(10))-1))</f>
        <v>Sporty &amp; Rich X Handball Spezial 'Pink Gum'</v>
      </c>
      <c r="G208" t="str">
        <f>F208 &amp; ", " &amp; '[1]Основной сток'!H205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сток'!J205 &amp; " / RU " &amp;
INDEX('[1]Размерная сетка'!$B$2:$B$40,MATCH('[1]Основной сток'!J205,'[1]Размерная сетка'!$A$2:$A$40,0)) &amp; " / US " &amp;
INDEX('[1]Размерная сетка'!$C$2:$C$40,MATCH('[1]Основной сток'!J205,'[1]Размерная сетка'!$A$2:$A$40,0)) &amp; " / см " &amp;
INDEX('[1]Размерная сетка'!$D$2:$D$40,MATCH('[1]Основной сток'!J205,'[1]Размерная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Sporty &amp; Rich X Handball Spezial 'Pink Gum', IH2610
• В наличии в Москве
• Оригинал, можно проверить при получении
• Совершенно новые, полный комплект
• Размер: EU 37 / RU 36 / US 6,5 / см 23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08" s="8">
        <f>'[1]Основной сток'!L205</f>
        <v>30000</v>
      </c>
      <c r="I208" s="1" t="str" cm="1">
        <f t="array" ref="I208">VLOOKUP(INDEX('[1]Основной сток'!H:H,ROW()-3),[1]Фотки!A:B,2,FALSE)</f>
        <v>https://i.ibb.co/B2P4wpSv/1-1.jpg|https://i.ibb.co/Y4v05bQP/2.jpg|https://i.ibb.co/9HQzyVqH/3.jpg|https://i.ibb.co/sv5M8XMJ/4.jpg</v>
      </c>
      <c r="J208" t="s">
        <v>36</v>
      </c>
      <c r="K208" t="s">
        <v>37</v>
      </c>
      <c r="L208" t="str">
        <f t="shared" si="6"/>
        <v>Женская обувь</v>
      </c>
      <c r="M208" t="s">
        <v>38</v>
      </c>
      <c r="N208" t="s">
        <v>39</v>
      </c>
      <c r="O208" t="str">
        <f>PROPER('[1]Основной сток'!F205)</f>
        <v>Adidas</v>
      </c>
      <c r="P208" t="str">
        <f>'[1]Основной сток'!M205</f>
        <v>Розовый</v>
      </c>
      <c r="R208" t="s">
        <v>41</v>
      </c>
      <c r="S208" t="s">
        <v>42</v>
      </c>
      <c r="T208" t="str">
        <f t="shared" si="7"/>
        <v>Кроссовки и кеды</v>
      </c>
      <c r="U208">
        <f>'[1]Основной сток'!J205 - 1</f>
        <v>36</v>
      </c>
      <c r="V208" t="s">
        <v>43</v>
      </c>
      <c r="X208" t="s">
        <v>44</v>
      </c>
      <c r="Y208" t="s">
        <v>45</v>
      </c>
    </row>
    <row r="209" spans="1:25" x14ac:dyDescent="0.15">
      <c r="A209" s="6">
        <f>'[1]Основной сток'!A206</f>
        <v>3080267</v>
      </c>
      <c r="B209" t="s">
        <v>33</v>
      </c>
      <c r="D209" t="s">
        <v>34</v>
      </c>
      <c r="E209" t="s">
        <v>35</v>
      </c>
      <c r="F209" s="7" t="str">
        <f>PROPER(LEFT('[1]Основной сток'!I206,FIND(CHAR(10),'[1]Основной сток'!I206&amp;CHAR(10))-1))</f>
        <v>Sporty &amp; Rich X Handball Spezial 'Pink Gum'</v>
      </c>
      <c r="G209" t="str">
        <f>F209 &amp; ", " &amp; '[1]Основной сток'!H206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сток'!J206 &amp; " / RU " &amp;
INDEX('[1]Размерная сетка'!$B$2:$B$40,MATCH('[1]Основной сток'!J206,'[1]Размерная сетка'!$A$2:$A$40,0)) &amp; " / US " &amp;
INDEX('[1]Размерная сетка'!$C$2:$C$40,MATCH('[1]Основной сток'!J206,'[1]Размерная сетка'!$A$2:$A$40,0)) &amp; " / см " &amp;
INDEX('[1]Размерная сетка'!$D$2:$D$40,MATCH('[1]Основной сток'!J206,'[1]Размерная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Sporty &amp; Rich X Handball Spezial 'Pink Gum', IH2610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09" s="8">
        <f>'[1]Основной сток'!L206</f>
        <v>30000</v>
      </c>
      <c r="I209" s="1" t="str" cm="1">
        <f t="array" ref="I209">VLOOKUP(INDEX('[1]Основной сток'!H:H,ROW()-3),[1]Фотки!A:B,2,FALSE)</f>
        <v>https://i.ibb.co/B2P4wpSv/1-1.jpg|https://i.ibb.co/Y4v05bQP/2.jpg|https://i.ibb.co/9HQzyVqH/3.jpg|https://i.ibb.co/sv5M8XMJ/4.jpg</v>
      </c>
      <c r="J209" t="s">
        <v>36</v>
      </c>
      <c r="K209" t="s">
        <v>37</v>
      </c>
      <c r="L209" t="str">
        <f t="shared" si="6"/>
        <v>Женская обувь</v>
      </c>
      <c r="M209" t="s">
        <v>38</v>
      </c>
      <c r="N209" t="s">
        <v>39</v>
      </c>
      <c r="O209" t="str">
        <f>PROPER('[1]Основной сток'!F206)</f>
        <v>Adidas</v>
      </c>
      <c r="P209" t="str">
        <f>'[1]Основной сток'!M206</f>
        <v>Розовый</v>
      </c>
      <c r="R209" t="s">
        <v>41</v>
      </c>
      <c r="S209" t="s">
        <v>42</v>
      </c>
      <c r="T209" t="str">
        <f t="shared" si="7"/>
        <v>Кроссовки и кеды</v>
      </c>
      <c r="U209">
        <f>'[1]Основной сток'!J206 - 1</f>
        <v>37</v>
      </c>
      <c r="V209" t="s">
        <v>43</v>
      </c>
      <c r="X209" t="s">
        <v>44</v>
      </c>
      <c r="Y209" t="s">
        <v>45</v>
      </c>
    </row>
    <row r="210" spans="1:25" x14ac:dyDescent="0.15">
      <c r="A210" s="6">
        <f>'[1]Основной сток'!A207</f>
        <v>3080269</v>
      </c>
      <c r="B210" t="s">
        <v>33</v>
      </c>
      <c r="D210" t="s">
        <v>34</v>
      </c>
      <c r="E210" t="s">
        <v>35</v>
      </c>
      <c r="F210" s="7" t="str">
        <f>PROPER(LEFT('[1]Основной сток'!I207,FIND(CHAR(10),'[1]Основной сток'!I207&amp;CHAR(10))-1))</f>
        <v>Sporty &amp; Rich X Handball Spezial 'Pink Gum'</v>
      </c>
      <c r="G210" t="str">
        <f>F210 &amp; ", " &amp; '[1]Основной сток'!H207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сток'!J207 &amp; " / RU " &amp;
INDEX('[1]Размерная сетка'!$B$2:$B$40,MATCH('[1]Основной сток'!J207,'[1]Размерная сетка'!$A$2:$A$40,0)) &amp; " / US " &amp;
INDEX('[1]Размерная сетка'!$C$2:$C$40,MATCH('[1]Основной сток'!J207,'[1]Размерная сетка'!$A$2:$A$40,0)) &amp; " / см " &amp;
INDEX('[1]Размерная сетка'!$D$2:$D$40,MATCH('[1]Основной сток'!J207,'[1]Размерная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Sporty &amp; Rich X Handball Spezial 'Pink Gum', IH2610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10" s="8">
        <f>'[1]Основной сток'!L207</f>
        <v>30000</v>
      </c>
      <c r="I210" s="1" t="str" cm="1">
        <f t="array" ref="I210">VLOOKUP(INDEX('[1]Основной сток'!H:H,ROW()-3),[1]Фотки!A:B,2,FALSE)</f>
        <v>https://i.ibb.co/B2P4wpSv/1-1.jpg|https://i.ibb.co/Y4v05bQP/2.jpg|https://i.ibb.co/9HQzyVqH/3.jpg|https://i.ibb.co/sv5M8XMJ/4.jpg</v>
      </c>
      <c r="J210" t="s">
        <v>36</v>
      </c>
      <c r="K210" t="s">
        <v>37</v>
      </c>
      <c r="L210" t="str">
        <f t="shared" si="6"/>
        <v>Женская обувь</v>
      </c>
      <c r="M210" t="s">
        <v>38</v>
      </c>
      <c r="N210" t="s">
        <v>39</v>
      </c>
      <c r="O210" t="str">
        <f>PROPER('[1]Основной сток'!F207)</f>
        <v>Adidas</v>
      </c>
      <c r="P210" t="str">
        <f>'[1]Основной сток'!M207</f>
        <v>Розовый</v>
      </c>
      <c r="R210" t="s">
        <v>41</v>
      </c>
      <c r="S210" t="s">
        <v>42</v>
      </c>
      <c r="T210" t="str">
        <f t="shared" si="7"/>
        <v>Кроссовки и кеды</v>
      </c>
      <c r="U210">
        <f>'[1]Основной сток'!J207 - 1</f>
        <v>37</v>
      </c>
      <c r="V210" t="s">
        <v>43</v>
      </c>
      <c r="X210" t="s">
        <v>44</v>
      </c>
      <c r="Y210" t="s">
        <v>45</v>
      </c>
    </row>
    <row r="211" spans="1:25" x14ac:dyDescent="0.15">
      <c r="A211" s="6">
        <f>'[1]Основной сток'!A208</f>
        <v>3080271</v>
      </c>
      <c r="B211" t="s">
        <v>33</v>
      </c>
      <c r="D211" t="s">
        <v>34</v>
      </c>
      <c r="E211" t="s">
        <v>35</v>
      </c>
      <c r="F211" s="7" t="str">
        <f>PROPER(LEFT('[1]Основной сток'!I208,FIND(CHAR(10),'[1]Основной сток'!I208&amp;CHAR(10))-1))</f>
        <v>Sporty &amp; Rich X Handball Spezial 'Pink Gum'</v>
      </c>
      <c r="G211" t="str">
        <f>F211 &amp; ", " &amp; '[1]Основной сток'!H208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сток'!J208 &amp; " / RU " &amp;
INDEX('[1]Размерная сетка'!$B$2:$B$40,MATCH('[1]Основной сток'!J208,'[1]Размерная сетка'!$A$2:$A$40,0)) &amp; " / US " &amp;
INDEX('[1]Размерная сетка'!$C$2:$C$40,MATCH('[1]Основной сток'!J208,'[1]Размерная сетка'!$A$2:$A$40,0)) &amp; " / см " &amp;
INDEX('[1]Размерная сетка'!$D$2:$D$40,MATCH('[1]Основной сток'!J208,'[1]Размерная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Sporty &amp; Rich X Handball Spezial 'Pink Gum', IH2610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11" s="8">
        <f>'[1]Основной сток'!L208</f>
        <v>30000</v>
      </c>
      <c r="I211" s="1" t="str" cm="1">
        <f t="array" ref="I211">VLOOKUP(INDEX('[1]Основной сток'!H:H,ROW()-3),[1]Фотки!A:B,2,FALSE)</f>
        <v>https://i.ibb.co/B2P4wpSv/1-1.jpg|https://i.ibb.co/Y4v05bQP/2.jpg|https://i.ibb.co/9HQzyVqH/3.jpg|https://i.ibb.co/sv5M8XMJ/4.jpg</v>
      </c>
      <c r="J211" t="s">
        <v>36</v>
      </c>
      <c r="K211" t="s">
        <v>37</v>
      </c>
      <c r="L211" t="str">
        <f t="shared" si="6"/>
        <v>Женская обувь</v>
      </c>
      <c r="M211" t="s">
        <v>38</v>
      </c>
      <c r="N211" t="s">
        <v>39</v>
      </c>
      <c r="O211" t="str">
        <f>PROPER('[1]Основной сток'!F208)</f>
        <v>Adidas</v>
      </c>
      <c r="P211" t="str">
        <f>'[1]Основной сток'!M208</f>
        <v>Розовый</v>
      </c>
      <c r="R211" t="s">
        <v>41</v>
      </c>
      <c r="S211" t="s">
        <v>42</v>
      </c>
      <c r="T211" t="str">
        <f t="shared" si="7"/>
        <v>Кроссовки и кеды</v>
      </c>
      <c r="U211">
        <f>'[1]Основной сток'!J208 - 1</f>
        <v>37.5</v>
      </c>
      <c r="V211" t="s">
        <v>43</v>
      </c>
      <c r="X211" t="s">
        <v>44</v>
      </c>
      <c r="Y211" t="s">
        <v>45</v>
      </c>
    </row>
    <row r="212" spans="1:25" x14ac:dyDescent="0.15">
      <c r="A212" s="6">
        <f>'[1]Основной сток'!A209</f>
        <v>3080272</v>
      </c>
      <c r="B212" t="s">
        <v>33</v>
      </c>
      <c r="D212" t="s">
        <v>34</v>
      </c>
      <c r="E212" t="s">
        <v>35</v>
      </c>
      <c r="F212" s="7" t="str">
        <f>PROPER(LEFT('[1]Основной сток'!I209,FIND(CHAR(10),'[1]Основной сток'!I209&amp;CHAR(10))-1))</f>
        <v>Sporty &amp; Rich X Handball Spezial 'Pink Gum'</v>
      </c>
      <c r="G212" t="str">
        <f>F212 &amp; ", " &amp; '[1]Основной сток'!H209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сток'!J209 &amp; " / RU " &amp;
INDEX('[1]Размерная сетка'!$B$2:$B$40,MATCH('[1]Основной сток'!J209,'[1]Размерная сетка'!$A$2:$A$40,0)) &amp; " / US " &amp;
INDEX('[1]Размерная сетка'!$C$2:$C$40,MATCH('[1]Основной сток'!J209,'[1]Размерная сетка'!$A$2:$A$40,0)) &amp; " / см " &amp;
INDEX('[1]Размерная сетка'!$D$2:$D$40,MATCH('[1]Основной сток'!J209,'[1]Размерная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Sporty &amp; Rich X Handball Spezial 'Pink Gum', IH2610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12" s="8">
        <f>'[1]Основной сток'!L209</f>
        <v>30000</v>
      </c>
      <c r="I212" s="1" t="str" cm="1">
        <f t="array" ref="I212">VLOOKUP(INDEX('[1]Основной сток'!H:H,ROW()-3),[1]Фотки!A:B,2,FALSE)</f>
        <v>https://i.ibb.co/B2P4wpSv/1-1.jpg|https://i.ibb.co/Y4v05bQP/2.jpg|https://i.ibb.co/9HQzyVqH/3.jpg|https://i.ibb.co/sv5M8XMJ/4.jpg</v>
      </c>
      <c r="J212" t="s">
        <v>36</v>
      </c>
      <c r="K212" t="s">
        <v>37</v>
      </c>
      <c r="L212" t="str">
        <f t="shared" si="6"/>
        <v>Женская обувь</v>
      </c>
      <c r="M212" t="s">
        <v>38</v>
      </c>
      <c r="N212" t="s">
        <v>39</v>
      </c>
      <c r="O212" t="str">
        <f>PROPER('[1]Основной сток'!F209)</f>
        <v>Adidas</v>
      </c>
      <c r="P212" t="str">
        <f>'[1]Основной сток'!M209</f>
        <v>Розовый</v>
      </c>
      <c r="R212" t="s">
        <v>41</v>
      </c>
      <c r="S212" t="s">
        <v>42</v>
      </c>
      <c r="T212" t="str">
        <f t="shared" si="7"/>
        <v>Кроссовки и кеды</v>
      </c>
      <c r="U212">
        <f>'[1]Основной сток'!J209 - 1</f>
        <v>38</v>
      </c>
      <c r="V212" t="s">
        <v>43</v>
      </c>
      <c r="X212" t="s">
        <v>44</v>
      </c>
      <c r="Y212" t="s">
        <v>45</v>
      </c>
    </row>
    <row r="213" spans="1:25" x14ac:dyDescent="0.15">
      <c r="A213" s="6">
        <f>'[1]Основной сток'!A210</f>
        <v>3080275</v>
      </c>
      <c r="B213" t="s">
        <v>33</v>
      </c>
      <c r="D213" t="s">
        <v>34</v>
      </c>
      <c r="E213" t="s">
        <v>35</v>
      </c>
      <c r="F213" s="7" t="str">
        <f>PROPER(LEFT('[1]Основной сток'!I210,FIND(CHAR(10),'[1]Основной сток'!I210&amp;CHAR(10))-1))</f>
        <v>Sporty &amp; Rich X Handball Spezial 'Green Gum'</v>
      </c>
      <c r="G213" t="str">
        <f>F213 &amp; ", " &amp; '[1]Основной сток'!H210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сток'!J210 &amp; " / RU " &amp;
INDEX('[1]Размерная сетка'!$B$2:$B$40,MATCH('[1]Основной сток'!J210,'[1]Размерная сетка'!$A$2:$A$40,0)) &amp; " / US " &amp;
INDEX('[1]Размерная сетка'!$C$2:$C$40,MATCH('[1]Основной сток'!J210,'[1]Размерная сетка'!$A$2:$A$40,0)) &amp; " / см " &amp;
INDEX('[1]Размерная сетка'!$D$2:$D$40,MATCH('[1]Основной сток'!J210,'[1]Размерная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Sporty &amp; Rich X Handball Spezial 'Green Gum', IH2148
• В наличии в Москве
• Оригинал, можно проверить при получении
• Совершенно новые, полный комплект
• Размер: EU 37 / RU 36 / US 6,5 / см 23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13" s="8">
        <f>'[1]Основной сток'!L210</f>
        <v>30000</v>
      </c>
      <c r="I213" s="1" t="str" cm="1">
        <f t="array" ref="I213">VLOOKUP(INDEX('[1]Основной сток'!H:H,ROW()-3),[1]Фотки!A:B,2,FALSE)</f>
        <v>https://i.ibb.co/qbRcBhQ/1.jpg|https://i.ibb.co/qY5LgV61/2.jpg|https://i.ibb.co/4ZpkG58q/3.jpg|https://i.ibb.co/m5NhLNC0/4.jpg</v>
      </c>
      <c r="J213" t="s">
        <v>36</v>
      </c>
      <c r="K213" t="s">
        <v>37</v>
      </c>
      <c r="L213" t="str">
        <f t="shared" si="6"/>
        <v>Женская обувь</v>
      </c>
      <c r="M213" t="s">
        <v>38</v>
      </c>
      <c r="N213" t="s">
        <v>39</v>
      </c>
      <c r="O213" t="str">
        <f>PROPER('[1]Основной сток'!F210)</f>
        <v>Adidas</v>
      </c>
      <c r="P213" t="str">
        <f>'[1]Основной сток'!M210</f>
        <v>Зелёный</v>
      </c>
      <c r="R213" t="s">
        <v>41</v>
      </c>
      <c r="S213" t="s">
        <v>42</v>
      </c>
      <c r="T213" t="str">
        <f t="shared" si="7"/>
        <v>Кроссовки и кеды</v>
      </c>
      <c r="U213">
        <f>'[1]Основной сток'!J210 - 1</f>
        <v>36</v>
      </c>
      <c r="V213" t="s">
        <v>43</v>
      </c>
      <c r="X213" t="s">
        <v>44</v>
      </c>
      <c r="Y213" t="s">
        <v>45</v>
      </c>
    </row>
    <row r="214" spans="1:25" x14ac:dyDescent="0.15">
      <c r="A214" s="6">
        <f>'[1]Основной сток'!A211</f>
        <v>3080278</v>
      </c>
      <c r="B214" t="s">
        <v>33</v>
      </c>
      <c r="D214" t="s">
        <v>34</v>
      </c>
      <c r="E214" t="s">
        <v>35</v>
      </c>
      <c r="F214" s="7" t="str">
        <f>PROPER(LEFT('[1]Основной сток'!I211,FIND(CHAR(10),'[1]Основной сток'!I211&amp;CHAR(10))-1))</f>
        <v>Sporty &amp; Rich X Handball Spezial 'Green Gum'</v>
      </c>
      <c r="G214" t="str">
        <f>F214 &amp; ", " &amp; '[1]Основной сток'!H211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сток'!J211 &amp; " / RU " &amp;
INDEX('[1]Размерная сетка'!$B$2:$B$40,MATCH('[1]Основной сток'!J211,'[1]Размерная сетка'!$A$2:$A$40,0)) &amp; " / US " &amp;
INDEX('[1]Размерная сетка'!$C$2:$C$40,MATCH('[1]Основной сток'!J211,'[1]Размерная сетка'!$A$2:$A$40,0)) &amp; " / см " &amp;
INDEX('[1]Размерная сетка'!$D$2:$D$40,MATCH('[1]Основной сток'!J211,'[1]Размерная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Sporty &amp; Rich X Handball Spezial 'Green Gum', IH2148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14" s="8">
        <f>'[1]Основной сток'!L211</f>
        <v>30000</v>
      </c>
      <c r="I214" s="1" t="str" cm="1">
        <f t="array" ref="I214">VLOOKUP(INDEX('[1]Основной сток'!H:H,ROW()-3),[1]Фотки!A:B,2,FALSE)</f>
        <v>https://i.ibb.co/qbRcBhQ/1.jpg|https://i.ibb.co/qY5LgV61/2.jpg|https://i.ibb.co/4ZpkG58q/3.jpg|https://i.ibb.co/m5NhLNC0/4.jpg</v>
      </c>
      <c r="J214" t="s">
        <v>36</v>
      </c>
      <c r="K214" t="s">
        <v>37</v>
      </c>
      <c r="L214" t="str">
        <f t="shared" si="6"/>
        <v>Женская обувь</v>
      </c>
      <c r="M214" t="s">
        <v>38</v>
      </c>
      <c r="N214" t="s">
        <v>39</v>
      </c>
      <c r="O214" t="str">
        <f>PROPER('[1]Основной сток'!F211)</f>
        <v>Adidas</v>
      </c>
      <c r="P214" t="str">
        <f>'[1]Основной сток'!M211</f>
        <v>Зелёный</v>
      </c>
      <c r="R214" t="s">
        <v>41</v>
      </c>
      <c r="S214" t="s">
        <v>42</v>
      </c>
      <c r="T214" t="str">
        <f t="shared" si="7"/>
        <v>Кроссовки и кеды</v>
      </c>
      <c r="U214">
        <f>'[1]Основной сток'!J211 - 1</f>
        <v>37.5</v>
      </c>
      <c r="V214" t="s">
        <v>43</v>
      </c>
      <c r="X214" t="s">
        <v>44</v>
      </c>
      <c r="Y214" t="s">
        <v>45</v>
      </c>
    </row>
    <row r="215" spans="1:25" x14ac:dyDescent="0.15">
      <c r="A215" s="6">
        <f>'[1]Основной сток'!A212</f>
        <v>3080280</v>
      </c>
      <c r="B215" t="s">
        <v>33</v>
      </c>
      <c r="D215" t="s">
        <v>34</v>
      </c>
      <c r="E215" t="s">
        <v>35</v>
      </c>
      <c r="F215" s="7" t="str">
        <f>PROPER(LEFT('[1]Основной сток'!I212,FIND(CHAR(10),'[1]Основной сток'!I212&amp;CHAR(10))-1))</f>
        <v>Sporty &amp; Rich X Handball Spezial 'Green Gum'</v>
      </c>
      <c r="G215" t="str">
        <f>F215 &amp; ", " &amp; '[1]Основной сток'!H212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сток'!J212 &amp; " / RU " &amp;
INDEX('[1]Размерная сетка'!$B$2:$B$40,MATCH('[1]Основной сток'!J212,'[1]Размерная сетка'!$A$2:$A$40,0)) &amp; " / US " &amp;
INDEX('[1]Размерная сетка'!$C$2:$C$40,MATCH('[1]Основной сток'!J212,'[1]Размерная сетка'!$A$2:$A$40,0)) &amp; " / см " &amp;
INDEX('[1]Размерная сетка'!$D$2:$D$40,MATCH('[1]Основной сток'!J212,'[1]Размерная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Sporty &amp; Rich X Handball Spezial 'Green Gum', IH2148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15" s="8">
        <f>'[1]Основной сток'!L212</f>
        <v>30000</v>
      </c>
      <c r="I215" s="1" t="str" cm="1">
        <f t="array" ref="I215">VLOOKUP(INDEX('[1]Основной сток'!H:H,ROW()-3),[1]Фотки!A:B,2,FALSE)</f>
        <v>https://i.ibb.co/qbRcBhQ/1.jpg|https://i.ibb.co/qY5LgV61/2.jpg|https://i.ibb.co/4ZpkG58q/3.jpg|https://i.ibb.co/m5NhLNC0/4.jpg</v>
      </c>
      <c r="J215" t="s">
        <v>36</v>
      </c>
      <c r="K215" t="s">
        <v>37</v>
      </c>
      <c r="L215" t="str">
        <f t="shared" si="6"/>
        <v>Женская обувь</v>
      </c>
      <c r="M215" t="s">
        <v>38</v>
      </c>
      <c r="N215" t="s">
        <v>39</v>
      </c>
      <c r="O215" t="str">
        <f>PROPER('[1]Основной сток'!F212)</f>
        <v>Adidas</v>
      </c>
      <c r="P215" t="str">
        <f>'[1]Основной сток'!M212</f>
        <v>Зелёный</v>
      </c>
      <c r="R215" t="s">
        <v>41</v>
      </c>
      <c r="S215" t="s">
        <v>42</v>
      </c>
      <c r="T215" t="str">
        <f t="shared" si="7"/>
        <v>Кроссовки и кеды</v>
      </c>
      <c r="U215">
        <f>'[1]Основной сток'!J212 - 1</f>
        <v>38</v>
      </c>
      <c r="V215" t="s">
        <v>43</v>
      </c>
      <c r="X215" t="s">
        <v>44</v>
      </c>
      <c r="Y215" t="s">
        <v>45</v>
      </c>
    </row>
    <row r="216" spans="1:25" x14ac:dyDescent="0.15">
      <c r="A216" s="6">
        <f>'[1]Основной сток'!A213</f>
        <v>3080281</v>
      </c>
      <c r="B216" t="s">
        <v>33</v>
      </c>
      <c r="D216" t="s">
        <v>34</v>
      </c>
      <c r="E216" t="s">
        <v>35</v>
      </c>
      <c r="F216" s="7" t="str">
        <f>PROPER(LEFT('[1]Основной сток'!I213,FIND(CHAR(10),'[1]Основной сток'!I213&amp;CHAR(10))-1))</f>
        <v>Sporty &amp; Rich X Handball Spezial 'Green Gum'</v>
      </c>
      <c r="G216" t="str">
        <f>F216 &amp; ", " &amp; '[1]Основной сток'!H213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сток'!J213 &amp; " / RU " &amp;
INDEX('[1]Размерная сетка'!$B$2:$B$40,MATCH('[1]Основной сток'!J213,'[1]Размерная сетка'!$A$2:$A$40,0)) &amp; " / US " &amp;
INDEX('[1]Размерная сетка'!$C$2:$C$40,MATCH('[1]Основной сток'!J213,'[1]Размерная сетка'!$A$2:$A$40,0)) &amp; " / см " &amp;
INDEX('[1]Размерная сетка'!$D$2:$D$40,MATCH('[1]Основной сток'!J213,'[1]Размерная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Sporty &amp; Rich X Handball Spezial 'Green Gum', IH2148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16" s="8">
        <f>'[1]Основной сток'!L213</f>
        <v>30000</v>
      </c>
      <c r="I216" s="1" t="str" cm="1">
        <f t="array" ref="I216">VLOOKUP(INDEX('[1]Основной сток'!H:H,ROW()-3),[1]Фотки!A:B,2,FALSE)</f>
        <v>https://i.ibb.co/qbRcBhQ/1.jpg|https://i.ibb.co/qY5LgV61/2.jpg|https://i.ibb.co/4ZpkG58q/3.jpg|https://i.ibb.co/m5NhLNC0/4.jpg</v>
      </c>
      <c r="J216" t="s">
        <v>36</v>
      </c>
      <c r="K216" t="s">
        <v>37</v>
      </c>
      <c r="L216" t="str">
        <f t="shared" si="6"/>
        <v>Женская обувь</v>
      </c>
      <c r="M216" t="s">
        <v>38</v>
      </c>
      <c r="N216" t="s">
        <v>39</v>
      </c>
      <c r="O216" t="str">
        <f>PROPER('[1]Основной сток'!F213)</f>
        <v>Adidas</v>
      </c>
      <c r="P216" t="str">
        <f>'[1]Основной сток'!M213</f>
        <v>Зелёный</v>
      </c>
      <c r="R216" t="s">
        <v>41</v>
      </c>
      <c r="S216" t="s">
        <v>42</v>
      </c>
      <c r="T216" t="str">
        <f t="shared" si="7"/>
        <v>Кроссовки и кеды</v>
      </c>
      <c r="U216">
        <f>'[1]Основной сток'!J213 - 1</f>
        <v>39</v>
      </c>
      <c r="V216" t="s">
        <v>43</v>
      </c>
      <c r="X216" t="s">
        <v>44</v>
      </c>
      <c r="Y216" t="s">
        <v>45</v>
      </c>
    </row>
    <row r="217" spans="1:25" x14ac:dyDescent="0.15">
      <c r="A217" s="6">
        <f>'[1]Основной сток'!A214</f>
        <v>3080282</v>
      </c>
      <c r="B217" t="s">
        <v>33</v>
      </c>
      <c r="D217" t="s">
        <v>34</v>
      </c>
      <c r="E217" t="s">
        <v>35</v>
      </c>
      <c r="F217" s="7" t="str">
        <f>PROPER(LEFT('[1]Основной сток'!I214,FIND(CHAR(10),'[1]Основной сток'!I214&amp;CHAR(10))-1))</f>
        <v>Sporty &amp; Rich X Handball Spezial 'Green Gum'</v>
      </c>
      <c r="G217" t="str">
        <f>F217 &amp; ", " &amp; '[1]Основной сток'!H214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сток'!J214 &amp; " / RU " &amp;
INDEX('[1]Размерная сетка'!$B$2:$B$40,MATCH('[1]Основной сток'!J214,'[1]Размерная сетка'!$A$2:$A$40,0)) &amp; " / US " &amp;
INDEX('[1]Размерная сетка'!$C$2:$C$40,MATCH('[1]Основной сток'!J214,'[1]Размерная сетка'!$A$2:$A$40,0)) &amp; " / см " &amp;
INDEX('[1]Размерная сетка'!$D$2:$D$40,MATCH('[1]Основной сток'!J214,'[1]Размерная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Sporty &amp; Rich X Handball Spezial 'Green Gum', IH2148
• В наличии в Москве
• Оригинал, можно проверить при получении
• Совершенно новые, полный комплект
• Размер: EU 40,5 / RU 39,5 / US 9 / см 25,3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17" s="8">
        <f>'[1]Основной сток'!L214</f>
        <v>30000</v>
      </c>
      <c r="I217" s="1" t="str" cm="1">
        <f t="array" ref="I217">VLOOKUP(INDEX('[1]Основной сток'!H:H,ROW()-3),[1]Фотки!A:B,2,FALSE)</f>
        <v>https://i.ibb.co/qbRcBhQ/1.jpg|https://i.ibb.co/qY5LgV61/2.jpg|https://i.ibb.co/4ZpkG58q/3.jpg|https://i.ibb.co/m5NhLNC0/4.jpg</v>
      </c>
      <c r="J217" t="s">
        <v>36</v>
      </c>
      <c r="K217" t="s">
        <v>37</v>
      </c>
      <c r="L217" t="str">
        <f t="shared" si="6"/>
        <v>Женская обувь</v>
      </c>
      <c r="M217" t="s">
        <v>38</v>
      </c>
      <c r="N217" t="s">
        <v>39</v>
      </c>
      <c r="O217" t="str">
        <f>PROPER('[1]Основной сток'!F214)</f>
        <v>Adidas</v>
      </c>
      <c r="P217" t="str">
        <f>'[1]Основной сток'!M214</f>
        <v>Зелёный</v>
      </c>
      <c r="R217" t="s">
        <v>41</v>
      </c>
      <c r="S217" t="s">
        <v>42</v>
      </c>
      <c r="T217" t="str">
        <f t="shared" si="7"/>
        <v>Кроссовки и кеды</v>
      </c>
      <c r="U217">
        <f>'[1]Основной сток'!J214 - 1</f>
        <v>39.5</v>
      </c>
      <c r="V217" t="s">
        <v>43</v>
      </c>
      <c r="X217" t="s">
        <v>44</v>
      </c>
      <c r="Y217" t="s">
        <v>45</v>
      </c>
    </row>
    <row r="218" spans="1:25" x14ac:dyDescent="0.15">
      <c r="A218" s="6">
        <f>'[1]Основной сток'!A215</f>
        <v>3080283</v>
      </c>
      <c r="B218" t="s">
        <v>33</v>
      </c>
      <c r="D218" t="s">
        <v>34</v>
      </c>
      <c r="E218" t="s">
        <v>35</v>
      </c>
      <c r="F218" s="7" t="str">
        <f>PROPER(LEFT('[1]Основной сток'!I215,FIND(CHAR(10),'[1]Основной сток'!I215&amp;CHAR(10))-1))</f>
        <v xml:space="preserve">Adidas Gazelle Indoor Shadow Fig </v>
      </c>
      <c r="G218" t="str">
        <f>F218 &amp; ", " &amp; '[1]Основной сток'!H215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сток'!J215 &amp; " / RU " &amp;
INDEX('[1]Размерная сетка'!$B$2:$B$40,MATCH('[1]Основной сток'!J215,'[1]Размерная сетка'!$A$2:$A$40,0)) &amp; " / US " &amp;
INDEX('[1]Размерная сетка'!$C$2:$C$40,MATCH('[1]Основной сток'!J215,'[1]Размерная сетка'!$A$2:$A$40,0)) &amp; " / см " &amp;
INDEX('[1]Размерная сетка'!$D$2:$D$40,MATCH('[1]Основной сток'!J215,'[1]Размерная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Indoor Shadow Fig , IH5483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18" s="8">
        <f>'[1]Основной сток'!L215</f>
        <v>21000</v>
      </c>
      <c r="I218" s="1" t="str" cm="1">
        <f t="array" ref="I218">VLOOKUP(INDEX('[1]Основной сток'!H:H,ROW()-3),[1]Фотки!A:B,2,FALSE)</f>
        <v>https://i.ibb.co/SDS9RDDQ/1-1.jpg|https://i.ibb.co/JM58Mqf/2.jpg|https://i.ibb.co/XxHCzShW/3.jpg|https://i.ibb.co/B5XZm5G9/4.jpg</v>
      </c>
      <c r="J218" t="s">
        <v>36</v>
      </c>
      <c r="K218" t="s">
        <v>37</v>
      </c>
      <c r="L218" t="str">
        <f t="shared" si="6"/>
        <v>Женская обувь</v>
      </c>
      <c r="M218" t="s">
        <v>38</v>
      </c>
      <c r="N218" t="s">
        <v>39</v>
      </c>
      <c r="O218" t="str">
        <f>PROPER('[1]Основной сток'!F215)</f>
        <v>Adidas</v>
      </c>
      <c r="P218" t="str">
        <f>'[1]Основной сток'!M215</f>
        <v>Фиолетовый</v>
      </c>
      <c r="R218" t="s">
        <v>41</v>
      </c>
      <c r="S218" t="s">
        <v>42</v>
      </c>
      <c r="T218" t="str">
        <f t="shared" si="7"/>
        <v>Кроссовки и кеды</v>
      </c>
      <c r="U218">
        <f>'[1]Основной сток'!J215 - 1</f>
        <v>37</v>
      </c>
      <c r="V218" t="s">
        <v>43</v>
      </c>
      <c r="X218" t="s">
        <v>44</v>
      </c>
      <c r="Y218" t="s">
        <v>45</v>
      </c>
    </row>
    <row r="219" spans="1:25" x14ac:dyDescent="0.15">
      <c r="A219" s="6">
        <f>'[1]Основной сток'!A216</f>
        <v>3080284</v>
      </c>
      <c r="B219" t="s">
        <v>33</v>
      </c>
      <c r="D219" t="s">
        <v>34</v>
      </c>
      <c r="E219" t="s">
        <v>35</v>
      </c>
      <c r="F219" s="7" t="str">
        <f>PROPER(LEFT('[1]Основной сток'!I216,FIND(CHAR(10),'[1]Основной сток'!I216&amp;CHAR(10))-1))</f>
        <v xml:space="preserve">Adidas Gazelle Indoor Shadow Fig </v>
      </c>
      <c r="G219" t="str">
        <f>F219 &amp; ", " &amp; '[1]Основной сток'!H216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сток'!J216 &amp; " / RU " &amp;
INDEX('[1]Размерная сетка'!$B$2:$B$40,MATCH('[1]Основной сток'!J216,'[1]Размерная сетка'!$A$2:$A$40,0)) &amp; " / US " &amp;
INDEX('[1]Размерная сетка'!$C$2:$C$40,MATCH('[1]Основной сток'!J216,'[1]Размерная сетка'!$A$2:$A$40,0)) &amp; " / см " &amp;
INDEX('[1]Размерная сетка'!$D$2:$D$40,MATCH('[1]Основной сток'!J216,'[1]Размерная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Indoor Shadow Fig , IH5483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19" s="8">
        <f>'[1]Основной сток'!L216</f>
        <v>21000</v>
      </c>
      <c r="I219" s="1" t="str" cm="1">
        <f t="array" ref="I219">VLOOKUP(INDEX('[1]Основной сток'!H:H,ROW()-3),[1]Фотки!A:B,2,FALSE)</f>
        <v>https://i.ibb.co/SDS9RDDQ/1-1.jpg|https://i.ibb.co/JM58Mqf/2.jpg|https://i.ibb.co/XxHCzShW/3.jpg|https://i.ibb.co/B5XZm5G9/4.jpg</v>
      </c>
      <c r="J219" t="s">
        <v>36</v>
      </c>
      <c r="K219" t="s">
        <v>37</v>
      </c>
      <c r="L219" t="str">
        <f t="shared" si="6"/>
        <v>Женская обувь</v>
      </c>
      <c r="M219" t="s">
        <v>38</v>
      </c>
      <c r="N219" t="s">
        <v>39</v>
      </c>
      <c r="O219" t="str">
        <f>PROPER('[1]Основной сток'!F216)</f>
        <v>Adidas</v>
      </c>
      <c r="P219" t="str">
        <f>'[1]Основной сток'!M216</f>
        <v>Фиолетовый</v>
      </c>
      <c r="R219" t="s">
        <v>41</v>
      </c>
      <c r="S219" t="s">
        <v>42</v>
      </c>
      <c r="T219" t="str">
        <f t="shared" si="7"/>
        <v>Кроссовки и кеды</v>
      </c>
      <c r="U219">
        <f>'[1]Основной сток'!J216 - 1</f>
        <v>37.5</v>
      </c>
      <c r="V219" t="s">
        <v>43</v>
      </c>
      <c r="X219" t="s">
        <v>44</v>
      </c>
      <c r="Y219" t="s">
        <v>45</v>
      </c>
    </row>
    <row r="220" spans="1:25" x14ac:dyDescent="0.15">
      <c r="A220" s="6">
        <f>'[1]Основной сток'!A217</f>
        <v>3080287</v>
      </c>
      <c r="B220" t="s">
        <v>33</v>
      </c>
      <c r="D220" t="s">
        <v>34</v>
      </c>
      <c r="E220" t="s">
        <v>35</v>
      </c>
      <c r="F220" s="7" t="str">
        <f>PROPER(LEFT('[1]Основной сток'!I217,FIND(CHAR(10),'[1]Основной сток'!I217&amp;CHAR(10))-1))</f>
        <v>Caroline Hu X Clot X Samba 'Reverie - Black'</v>
      </c>
      <c r="G220" t="str">
        <f>F220 &amp; ", " &amp; '[1]Основной сток'!H217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сток'!J217 &amp; " / RU " &amp;
INDEX('[1]Размерная сетка'!$B$2:$B$40,MATCH('[1]Основной сток'!J217,'[1]Размерная сетка'!$A$2:$A$40,0)) &amp; " / US " &amp;
INDEX('[1]Размерная сетка'!$C$2:$C$40,MATCH('[1]Основной сток'!J217,'[1]Размерная сетка'!$A$2:$A$40,0)) &amp; " / см " &amp;
INDEX('[1]Размерная сетка'!$D$2:$D$40,MATCH('[1]Основной сток'!J217,'[1]Размерная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Caroline Hu X Clot X Samba 'Reverie - Black', JQ4749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20" s="8">
        <f>'[1]Основной сток'!L217</f>
        <v>40000</v>
      </c>
      <c r="I220" s="1" t="str" cm="1">
        <f t="array" ref="I220">VLOOKUP(INDEX('[1]Основной сток'!H:H,ROW()-3),[1]Фотки!A:B,2,FALSE)</f>
        <v>https://i.ibb.co/7xw4qWb4/1.jpg</v>
      </c>
      <c r="J220" t="s">
        <v>36</v>
      </c>
      <c r="K220" t="s">
        <v>37</v>
      </c>
      <c r="L220" t="str">
        <f t="shared" si="6"/>
        <v>Женская обувь</v>
      </c>
      <c r="M220" t="s">
        <v>38</v>
      </c>
      <c r="N220" t="s">
        <v>39</v>
      </c>
      <c r="O220" t="str">
        <f>PROPER('[1]Основной сток'!F217)</f>
        <v>Adidas</v>
      </c>
      <c r="P220" t="str">
        <f>'[1]Основной сток'!M217</f>
        <v>Черный</v>
      </c>
      <c r="R220" t="s">
        <v>41</v>
      </c>
      <c r="S220" t="s">
        <v>42</v>
      </c>
      <c r="T220" t="str">
        <f t="shared" si="7"/>
        <v>Кроссовки и кеды</v>
      </c>
      <c r="U220">
        <f>'[1]Основной сток'!J217 - 1</f>
        <v>37</v>
      </c>
      <c r="V220" t="s">
        <v>43</v>
      </c>
      <c r="X220" t="s">
        <v>44</v>
      </c>
      <c r="Y220" t="s">
        <v>45</v>
      </c>
    </row>
    <row r="221" spans="1:25" x14ac:dyDescent="0.15">
      <c r="A221" s="6">
        <f>'[1]Основной сток'!A218</f>
        <v>3080288</v>
      </c>
      <c r="B221" t="s">
        <v>33</v>
      </c>
      <c r="D221" t="s">
        <v>34</v>
      </c>
      <c r="E221" t="s">
        <v>35</v>
      </c>
      <c r="F221" s="7" t="str">
        <f>PROPER(LEFT('[1]Основной сток'!I218,FIND(CHAR(10),'[1]Основной сток'!I218&amp;CHAR(10))-1))</f>
        <v>Caroline Hu X Clot X Samba 'Reverie - Black'</v>
      </c>
      <c r="G221" t="str">
        <f>F221 &amp; ", " &amp; '[1]Основной сток'!H218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сток'!J218 &amp; " / RU " &amp;
INDEX('[1]Размерная сетка'!$B$2:$B$40,MATCH('[1]Основной сток'!J218,'[1]Размерная сетка'!$A$2:$A$40,0)) &amp; " / US " &amp;
INDEX('[1]Размерная сетка'!$C$2:$C$40,MATCH('[1]Основной сток'!J218,'[1]Размерная сетка'!$A$2:$A$40,0)) &amp; " / см " &amp;
INDEX('[1]Размерная сетка'!$D$2:$D$40,MATCH('[1]Основной сток'!J218,'[1]Размерная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Caroline Hu X Clot X Samba 'Reverie - Black', JQ4749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21" s="8">
        <f>'[1]Основной сток'!L218</f>
        <v>40000</v>
      </c>
      <c r="I221" s="1" t="str" cm="1">
        <f t="array" ref="I221">VLOOKUP(INDEX('[1]Основной сток'!H:H,ROW()-3),[1]Фотки!A:B,2,FALSE)</f>
        <v>https://i.ibb.co/7xw4qWb4/1.jpg</v>
      </c>
      <c r="J221" t="s">
        <v>36</v>
      </c>
      <c r="K221" t="s">
        <v>37</v>
      </c>
      <c r="L221" t="str">
        <f t="shared" si="6"/>
        <v>Женская обувь</v>
      </c>
      <c r="M221" t="s">
        <v>38</v>
      </c>
      <c r="N221" t="s">
        <v>39</v>
      </c>
      <c r="O221" t="str">
        <f>PROPER('[1]Основной сток'!F218)</f>
        <v>Adidas</v>
      </c>
      <c r="P221" t="str">
        <f>'[1]Основной сток'!M218</f>
        <v>Черный</v>
      </c>
      <c r="R221" t="s">
        <v>41</v>
      </c>
      <c r="S221" t="s">
        <v>42</v>
      </c>
      <c r="T221" t="str">
        <f t="shared" si="7"/>
        <v>Кроссовки и кеды</v>
      </c>
      <c r="U221">
        <f>'[1]Основной сток'!J218 - 1</f>
        <v>37.5</v>
      </c>
      <c r="V221" t="s">
        <v>43</v>
      </c>
      <c r="X221" t="s">
        <v>44</v>
      </c>
      <c r="Y221" t="s">
        <v>45</v>
      </c>
    </row>
    <row r="222" spans="1:25" x14ac:dyDescent="0.15">
      <c r="A222" s="6">
        <f>'[1]Основной сток'!A219</f>
        <v>3080290</v>
      </c>
      <c r="B222" t="s">
        <v>33</v>
      </c>
      <c r="D222" t="s">
        <v>34</v>
      </c>
      <c r="E222" t="s">
        <v>35</v>
      </c>
      <c r="F222" s="7" t="str">
        <f>PROPER(LEFT('[1]Основной сток'!I219,FIND(CHAR(10),'[1]Основной сток'!I219&amp;CHAR(10))-1))</f>
        <v>Caroline Hu X Clot X Samba 'Reverie - Off White'</v>
      </c>
      <c r="G222" t="str">
        <f>F222 &amp; ", " &amp; '[1]Основной сток'!H219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сток'!J219 &amp; " / RU " &amp;
INDEX('[1]Размерная сетка'!$B$2:$B$40,MATCH('[1]Основной сток'!J219,'[1]Размерная сетка'!$A$2:$A$40,0)) &amp; " / US " &amp;
INDEX('[1]Размерная сетка'!$C$2:$C$40,MATCH('[1]Основной сток'!J219,'[1]Размерная сетка'!$A$2:$A$40,0)) &amp; " / см " &amp;
INDEX('[1]Размерная сетка'!$D$2:$D$40,MATCH('[1]Основной сток'!J219,'[1]Размерная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Caroline Hu X Clot X Samba 'Reverie - Off White', JQ4748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22" s="8">
        <f>'[1]Основной сток'!L219</f>
        <v>40000</v>
      </c>
      <c r="I222" s="1" t="str" cm="1">
        <f t="array" ref="I222">VLOOKUP(INDEX('[1]Основной сток'!H:H,ROW()-3),[1]Фотки!A:B,2,FALSE)</f>
        <v>https://i.ibb.co/B2hTFkq9/1-1.jpg</v>
      </c>
      <c r="J222" t="s">
        <v>36</v>
      </c>
      <c r="K222" t="s">
        <v>37</v>
      </c>
      <c r="L222" t="str">
        <f t="shared" si="6"/>
        <v>Женская обувь</v>
      </c>
      <c r="M222" t="s">
        <v>38</v>
      </c>
      <c r="N222" t="s">
        <v>39</v>
      </c>
      <c r="O222" t="str">
        <f>PROPER('[1]Основной сток'!F219)</f>
        <v>Adidas</v>
      </c>
      <c r="P222" t="str">
        <f>'[1]Основной сток'!M219</f>
        <v>Черный</v>
      </c>
      <c r="R222" t="s">
        <v>41</v>
      </c>
      <c r="S222" t="s">
        <v>42</v>
      </c>
      <c r="T222" t="str">
        <f t="shared" si="7"/>
        <v>Кроссовки и кеды</v>
      </c>
      <c r="U222">
        <f>'[1]Основной сток'!J219 - 1</f>
        <v>37</v>
      </c>
      <c r="V222" t="s">
        <v>43</v>
      </c>
      <c r="X222" t="s">
        <v>44</v>
      </c>
      <c r="Y222" t="s">
        <v>45</v>
      </c>
    </row>
    <row r="223" spans="1:25" x14ac:dyDescent="0.15">
      <c r="A223" s="6">
        <f>'[1]Основной сток'!A220</f>
        <v>3080291</v>
      </c>
      <c r="B223" t="s">
        <v>33</v>
      </c>
      <c r="D223" t="s">
        <v>34</v>
      </c>
      <c r="E223" t="s">
        <v>35</v>
      </c>
      <c r="F223" s="7" t="str">
        <f>PROPER(LEFT('[1]Основной сток'!I220,FIND(CHAR(10),'[1]Основной сток'!I220&amp;CHAR(10))-1))</f>
        <v>Caroline Hu X Clot X Samba 'Reverie - Off White'</v>
      </c>
      <c r="G223" t="str">
        <f>F223 &amp; ", " &amp; '[1]Основной сток'!H220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сток'!J220 &amp; " / RU " &amp;
INDEX('[1]Размерная сетка'!$B$2:$B$40,MATCH('[1]Основной сток'!J220,'[1]Размерная сетка'!$A$2:$A$40,0)) &amp; " / US " &amp;
INDEX('[1]Размерная сетка'!$C$2:$C$40,MATCH('[1]Основной сток'!J220,'[1]Размерная сетка'!$A$2:$A$40,0)) &amp; " / см " &amp;
INDEX('[1]Размерная сетка'!$D$2:$D$40,MATCH('[1]Основной сток'!J220,'[1]Размерная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Caroline Hu X Clot X Samba 'Reverie - Off White', JQ4748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23" s="8">
        <f>'[1]Основной сток'!L220</f>
        <v>40000</v>
      </c>
      <c r="I223" s="1" t="str" cm="1">
        <f t="array" ref="I223">VLOOKUP(INDEX('[1]Основной сток'!H:H,ROW()-3),[1]Фотки!A:B,2,FALSE)</f>
        <v>https://i.ibb.co/B2hTFkq9/1-1.jpg</v>
      </c>
      <c r="J223" t="s">
        <v>36</v>
      </c>
      <c r="K223" t="s">
        <v>37</v>
      </c>
      <c r="L223" t="str">
        <f t="shared" si="6"/>
        <v>Женская обувь</v>
      </c>
      <c r="M223" t="s">
        <v>38</v>
      </c>
      <c r="N223" t="s">
        <v>39</v>
      </c>
      <c r="O223" t="str">
        <f>PROPER('[1]Основной сток'!F220)</f>
        <v>Adidas</v>
      </c>
      <c r="P223" t="str">
        <f>'[1]Основной сток'!M220</f>
        <v>Черный</v>
      </c>
      <c r="R223" t="s">
        <v>41</v>
      </c>
      <c r="S223" t="s">
        <v>42</v>
      </c>
      <c r="T223" t="str">
        <f t="shared" si="7"/>
        <v>Кроссовки и кеды</v>
      </c>
      <c r="U223">
        <f>'[1]Основной сток'!J220 - 1</f>
        <v>37.5</v>
      </c>
      <c r="V223" t="s">
        <v>43</v>
      </c>
      <c r="X223" t="s">
        <v>44</v>
      </c>
      <c r="Y223" t="s">
        <v>45</v>
      </c>
    </row>
    <row r="224" spans="1:25" x14ac:dyDescent="0.15">
      <c r="A224" s="6">
        <f>'[1]Основной сток'!A221</f>
        <v>3080301</v>
      </c>
      <c r="B224" t="s">
        <v>33</v>
      </c>
      <c r="D224" t="s">
        <v>34</v>
      </c>
      <c r="E224" t="s">
        <v>35</v>
      </c>
      <c r="F224" s="7" t="str">
        <f>PROPER(LEFT('[1]Основной сток'!I221,FIND(CHAR(10),'[1]Основной сток'!I221&amp;CHAR(10))-1))</f>
        <v>Wmns Dunk Low 'Vintage Green'</v>
      </c>
      <c r="G224" t="str">
        <f>F224 &amp; ", " &amp; '[1]Основной сток'!H221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сток'!J221 &amp; " / RU " &amp;
INDEX('[1]Размерная сетка'!$B$2:$B$40,MATCH('[1]Основной сток'!J221,'[1]Размерная сетка'!$A$2:$A$40,0)) &amp; " / US " &amp;
INDEX('[1]Размерная сетка'!$C$2:$C$40,MATCH('[1]Основной сток'!J221,'[1]Размерная сетка'!$A$2:$A$40,0)) &amp; " / см " &amp;
INDEX('[1]Размерная сетка'!$D$2:$D$40,MATCH('[1]Основной сток'!J221,'[1]Размерная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Wmns Dunk Low 'Vintage Green', DQ8580-100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24" s="8">
        <f>'[1]Основной сток'!L221</f>
        <v>12000</v>
      </c>
      <c r="I224" s="1" t="str" cm="1">
        <f t="array" ref="I224">VLOOKUP(INDEX('[1]Основной сток'!H:H,ROW()-3),[1]Фотки!A:B,2,FALSE)</f>
        <v>https://i.ibb.co/jv41xq5g/1-1.jpg</v>
      </c>
      <c r="J224" t="s">
        <v>36</v>
      </c>
      <c r="K224" t="s">
        <v>37</v>
      </c>
      <c r="L224" t="str">
        <f t="shared" si="6"/>
        <v>Женская обувь</v>
      </c>
      <c r="M224" t="s">
        <v>38</v>
      </c>
      <c r="N224" t="s">
        <v>39</v>
      </c>
      <c r="O224" t="str">
        <f>PROPER('[1]Основной сток'!F221)</f>
        <v>Nike</v>
      </c>
      <c r="P224" t="str">
        <f>'[1]Основной сток'!M221</f>
        <v>Зелёный</v>
      </c>
      <c r="R224" t="s">
        <v>41</v>
      </c>
      <c r="S224" t="s">
        <v>42</v>
      </c>
      <c r="T224" t="str">
        <f t="shared" si="7"/>
        <v>Кроссовки и кеды</v>
      </c>
      <c r="U224">
        <f>'[1]Основной сток'!J221 - 1</f>
        <v>37</v>
      </c>
      <c r="V224" t="s">
        <v>43</v>
      </c>
      <c r="X224" t="s">
        <v>44</v>
      </c>
      <c r="Y224" t="s">
        <v>45</v>
      </c>
    </row>
    <row r="225" spans="1:25" x14ac:dyDescent="0.15">
      <c r="A225" s="6">
        <f>'[1]Основной сток'!A222</f>
        <v>3080302</v>
      </c>
      <c r="B225" t="s">
        <v>33</v>
      </c>
      <c r="D225" t="s">
        <v>34</v>
      </c>
      <c r="E225" t="s">
        <v>35</v>
      </c>
      <c r="F225" s="7" t="str">
        <f>PROPER(LEFT('[1]Основной сток'!I222,FIND(CHAR(10),'[1]Основной сток'!I222&amp;CHAR(10))-1))</f>
        <v>Wmns Dunk Low 'Vintage Green'</v>
      </c>
      <c r="G225" t="str">
        <f>F225 &amp; ", " &amp; '[1]Основной сток'!H222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сток'!J222 &amp; " / RU " &amp;
INDEX('[1]Размерная сетка'!$B$2:$B$40,MATCH('[1]Основной сток'!J222,'[1]Размерная сетка'!$A$2:$A$40,0)) &amp; " / US " &amp;
INDEX('[1]Размерная сетка'!$C$2:$C$40,MATCH('[1]Основной сток'!J222,'[1]Размерная сетка'!$A$2:$A$40,0)) &amp; " / см " &amp;
INDEX('[1]Размерная сетка'!$D$2:$D$40,MATCH('[1]Основной сток'!J222,'[1]Размерная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Wmns Dunk Low 'Vintage Green', DQ8580-100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25" s="8">
        <f>'[1]Основной сток'!L222</f>
        <v>12000</v>
      </c>
      <c r="I225" s="1" t="str" cm="1">
        <f t="array" ref="I225">VLOOKUP(INDEX('[1]Основной сток'!H:H,ROW()-3),[1]Фотки!A:B,2,FALSE)</f>
        <v>https://i.ibb.co/jv41xq5g/1-1.jpg</v>
      </c>
      <c r="J225" t="s">
        <v>36</v>
      </c>
      <c r="K225" t="s">
        <v>37</v>
      </c>
      <c r="L225" t="str">
        <f t="shared" si="6"/>
        <v>Женская обувь</v>
      </c>
      <c r="M225" t="s">
        <v>38</v>
      </c>
      <c r="N225" t="s">
        <v>39</v>
      </c>
      <c r="O225" t="str">
        <f>PROPER('[1]Основной сток'!F222)</f>
        <v>Nike</v>
      </c>
      <c r="P225" t="str">
        <f>'[1]Основной сток'!M222</f>
        <v>Зелёный</v>
      </c>
      <c r="R225" t="s">
        <v>41</v>
      </c>
      <c r="S225" t="s">
        <v>42</v>
      </c>
      <c r="T225" t="str">
        <f t="shared" si="7"/>
        <v>Кроссовки и кеды</v>
      </c>
      <c r="U225">
        <f>'[1]Основной сток'!J222 - 1</f>
        <v>37.5</v>
      </c>
      <c r="V225" t="s">
        <v>43</v>
      </c>
      <c r="X225" t="s">
        <v>44</v>
      </c>
      <c r="Y225" t="s">
        <v>45</v>
      </c>
    </row>
    <row r="226" spans="1:25" x14ac:dyDescent="0.15">
      <c r="A226" s="6">
        <f>'[1]Основной сток'!A223</f>
        <v>3080303</v>
      </c>
      <c r="B226" t="s">
        <v>33</v>
      </c>
      <c r="D226" t="s">
        <v>34</v>
      </c>
      <c r="E226" t="s">
        <v>35</v>
      </c>
      <c r="F226" s="7" t="str">
        <f>PROPER(LEFT('[1]Основной сток'!I223,FIND(CHAR(10),'[1]Основной сток'!I223&amp;CHAR(10))-1))</f>
        <v>Wmns Dunk Low 'Vintage Green'</v>
      </c>
      <c r="G226" t="str">
        <f>F226 &amp; ", " &amp; '[1]Основной сток'!H223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сток'!J223 &amp; " / RU " &amp;
INDEX('[1]Размерная сетка'!$B$2:$B$40,MATCH('[1]Основной сток'!J223,'[1]Размерная сетка'!$A$2:$A$40,0)) &amp; " / US " &amp;
INDEX('[1]Размерная сетка'!$C$2:$C$40,MATCH('[1]Основной сток'!J223,'[1]Размерная сетка'!$A$2:$A$40,0)) &amp; " / см " &amp;
INDEX('[1]Размерная сетка'!$D$2:$D$40,MATCH('[1]Основной сток'!J223,'[1]Размерная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Wmns Dunk Low 'Vintage Green', DQ8580-100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26" s="8">
        <f>'[1]Основной сток'!L223</f>
        <v>12000</v>
      </c>
      <c r="I226" s="1" t="str" cm="1">
        <f t="array" ref="I226">VLOOKUP(INDEX('[1]Основной сток'!H:H,ROW()-3),[1]Фотки!A:B,2,FALSE)</f>
        <v>https://i.ibb.co/jv41xq5g/1-1.jpg</v>
      </c>
      <c r="J226" t="s">
        <v>36</v>
      </c>
      <c r="K226" t="s">
        <v>37</v>
      </c>
      <c r="L226" t="str">
        <f t="shared" si="6"/>
        <v>Женская обувь</v>
      </c>
      <c r="M226" t="s">
        <v>38</v>
      </c>
      <c r="N226" t="s">
        <v>39</v>
      </c>
      <c r="O226" t="str">
        <f>PROPER('[1]Основной сток'!F223)</f>
        <v>Nike</v>
      </c>
      <c r="P226" t="str">
        <f>'[1]Основной сток'!M223</f>
        <v>Зелёный</v>
      </c>
      <c r="R226" t="s">
        <v>41</v>
      </c>
      <c r="S226" t="s">
        <v>42</v>
      </c>
      <c r="T226" t="str">
        <f t="shared" si="7"/>
        <v>Кроссовки и кеды</v>
      </c>
      <c r="U226">
        <f>'[1]Основной сток'!J223 - 1</f>
        <v>38</v>
      </c>
      <c r="V226" t="s">
        <v>43</v>
      </c>
      <c r="X226" t="s">
        <v>44</v>
      </c>
      <c r="Y226" t="s">
        <v>45</v>
      </c>
    </row>
    <row r="227" spans="1:25" x14ac:dyDescent="0.15">
      <c r="A227" s="6">
        <f>'[1]Основной сток'!A224</f>
        <v>3080305</v>
      </c>
      <c r="B227" t="s">
        <v>33</v>
      </c>
      <c r="D227" t="s">
        <v>34</v>
      </c>
      <c r="E227" t="s">
        <v>35</v>
      </c>
      <c r="F227" s="7" t="str">
        <f>PROPER(LEFT('[1]Основной сток'!I224,FIND(CHAR(10),'[1]Основной сток'!I224&amp;CHAR(10))-1))</f>
        <v>Wmns Dunk Low 'Vintage Green'</v>
      </c>
      <c r="G227" t="str">
        <f>F227 &amp; ", " &amp; '[1]Основной сток'!H224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сток'!J224 &amp; " / RU " &amp;
INDEX('[1]Размерная сетка'!$B$2:$B$40,MATCH('[1]Основной сток'!J224,'[1]Размерная сетка'!$A$2:$A$40,0)) &amp; " / US " &amp;
INDEX('[1]Размерная сетка'!$C$2:$C$40,MATCH('[1]Основной сток'!J224,'[1]Размерная сетка'!$A$2:$A$40,0)) &amp; " / см " &amp;
INDEX('[1]Размерная сетка'!$D$2:$D$40,MATCH('[1]Основной сток'!J224,'[1]Размерная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Wmns Dunk Low 'Vintage Green', DQ8580-100
• В наличии в Москве
• Оригинал, можно проверить при получении
• Совершенно новые, полный комплект
• Размер: EU 40,5 / RU 39,5 / US 9 / см 25,3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27" s="8">
        <f>'[1]Основной сток'!L224</f>
        <v>12000</v>
      </c>
      <c r="I227" s="1" t="str" cm="1">
        <f t="array" ref="I227">VLOOKUP(INDEX('[1]Основной сток'!H:H,ROW()-3),[1]Фотки!A:B,2,FALSE)</f>
        <v>https://i.ibb.co/jv41xq5g/1-1.jpg</v>
      </c>
      <c r="J227" t="s">
        <v>36</v>
      </c>
      <c r="K227" t="s">
        <v>37</v>
      </c>
      <c r="L227" t="str">
        <f t="shared" si="6"/>
        <v>Женская обувь</v>
      </c>
      <c r="M227" t="s">
        <v>38</v>
      </c>
      <c r="N227" t="s">
        <v>39</v>
      </c>
      <c r="O227" t="str">
        <f>PROPER('[1]Основной сток'!F224)</f>
        <v>Nike</v>
      </c>
      <c r="P227" t="str">
        <f>'[1]Основной сток'!M224</f>
        <v>Зелёный</v>
      </c>
      <c r="R227" t="s">
        <v>41</v>
      </c>
      <c r="S227" t="s">
        <v>42</v>
      </c>
      <c r="T227" t="str">
        <f t="shared" si="7"/>
        <v>Кроссовки и кеды</v>
      </c>
      <c r="U227">
        <f>'[1]Основной сток'!J224 - 1</f>
        <v>39.5</v>
      </c>
      <c r="V227" t="s">
        <v>43</v>
      </c>
      <c r="X227" t="s">
        <v>44</v>
      </c>
      <c r="Y227" t="s">
        <v>45</v>
      </c>
    </row>
    <row r="228" spans="1:25" x14ac:dyDescent="0.15">
      <c r="A228" s="6">
        <f>'[1]Основной сток'!A225</f>
        <v>3080307</v>
      </c>
      <c r="B228" t="s">
        <v>33</v>
      </c>
      <c r="D228" t="s">
        <v>34</v>
      </c>
      <c r="E228" t="s">
        <v>35</v>
      </c>
      <c r="F228" s="7" t="str">
        <f>PROPER(LEFT('[1]Основной сток'!I225,FIND(CHAR(10),'[1]Основной сток'!I225&amp;CHAR(10))-1))</f>
        <v>April Skateboards X Dunk Low Sb 'Turbo Green'</v>
      </c>
      <c r="G228" t="str">
        <f>F228 &amp; ", " &amp; '[1]Основной сток'!H225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сток'!J225 &amp; " / RU " &amp;
INDEX('[1]Размерная сетка'!$B$2:$B$40,MATCH('[1]Основной сток'!J225,'[1]Размерная сетка'!$A$2:$A$40,0)) &amp; " / US " &amp;
INDEX('[1]Размерная сетка'!$C$2:$C$40,MATCH('[1]Основной сток'!J225,'[1]Размерная сетка'!$A$2:$A$40,0)) &amp; " / см " &amp;
INDEX('[1]Размерная сетка'!$D$2:$D$40,MATCH('[1]Основной сток'!J225,'[1]Размерная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April Skateboards X Dunk Low Sb 'Turbo Green', FD2562-400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28" s="8">
        <f>'[1]Основной сток'!L225</f>
        <v>32000</v>
      </c>
      <c r="I228" s="1" t="str" cm="1">
        <f t="array" ref="I228">VLOOKUP(INDEX('[1]Основной сток'!H:H,ROW()-3),[1]Фотки!A:B,2,FALSE)</f>
        <v>https://i.ibb.co/22bjq5j/1.jpg|https://i.ibb.co/4wS9HG8Z/4.jpg</v>
      </c>
      <c r="J228" t="s">
        <v>36</v>
      </c>
      <c r="K228" t="s">
        <v>37</v>
      </c>
      <c r="L228" t="str">
        <f t="shared" si="6"/>
        <v>Женская обувь</v>
      </c>
      <c r="M228" t="s">
        <v>38</v>
      </c>
      <c r="N228" t="s">
        <v>39</v>
      </c>
      <c r="O228" t="str">
        <f>PROPER('[1]Основной сток'!F225)</f>
        <v>Nike</v>
      </c>
      <c r="P228" t="str">
        <f>'[1]Основной сток'!M225</f>
        <v>Белый</v>
      </c>
      <c r="R228" t="s">
        <v>41</v>
      </c>
      <c r="S228" t="s">
        <v>42</v>
      </c>
      <c r="T228" t="str">
        <f t="shared" si="7"/>
        <v>Кроссовки и кеды</v>
      </c>
      <c r="U228">
        <f>'[1]Основной сток'!J225 - 1</f>
        <v>38</v>
      </c>
      <c r="V228" t="s">
        <v>43</v>
      </c>
      <c r="X228" t="s">
        <v>44</v>
      </c>
      <c r="Y228" t="s">
        <v>45</v>
      </c>
    </row>
    <row r="229" spans="1:25" x14ac:dyDescent="0.15">
      <c r="A229" s="6">
        <f>'[1]Основной сток'!A226</f>
        <v>3080308</v>
      </c>
      <c r="B229" t="s">
        <v>33</v>
      </c>
      <c r="D229" t="s">
        <v>34</v>
      </c>
      <c r="E229" t="s">
        <v>35</v>
      </c>
      <c r="F229" s="7" t="str">
        <f>PROPER(LEFT('[1]Основной сток'!I226,FIND(CHAR(10),'[1]Основной сток'!I226&amp;CHAR(10))-1))</f>
        <v>Dunk Low Gs 'Michigan State'</v>
      </c>
      <c r="G229" t="str">
        <f>F229 &amp; ", " &amp; '[1]Основной сток'!H226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сток'!J226 &amp; " / RU " &amp;
INDEX('[1]Размерная сетка'!$B$2:$B$40,MATCH('[1]Основной сток'!J226,'[1]Размерная сетка'!$A$2:$A$40,0)) &amp; " / US " &amp;
INDEX('[1]Размерная сетка'!$C$2:$C$40,MATCH('[1]Основной сток'!J226,'[1]Размерная сетка'!$A$2:$A$40,0)) &amp; " / см " &amp;
INDEX('[1]Размерная сетка'!$D$2:$D$40,MATCH('[1]Основной сток'!J226,'[1]Размерная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Dunk Low Gs 'Michigan State', CW1590-102
• В наличии в Москве
• Оригинал, можно проверить при получении
• Совершенно новые, полный комплект
• Размер: EU 37,5 / RU 36,5 / US 6,5-7 / см 23,3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29" s="8">
        <f>'[1]Основной сток'!L226</f>
        <v>20000</v>
      </c>
      <c r="I229" s="1" t="str" cm="1">
        <f t="array" ref="I229">VLOOKUP(INDEX('[1]Основной сток'!H:H,ROW()-3),[1]Фотки!A:B,2,FALSE)</f>
        <v>https://i.ibb.co/8DYkfvBv/1-1.jpg</v>
      </c>
      <c r="J229" t="s">
        <v>36</v>
      </c>
      <c r="K229" t="s">
        <v>37</v>
      </c>
      <c r="L229" t="str">
        <f t="shared" si="6"/>
        <v>Женская обувь</v>
      </c>
      <c r="M229" t="s">
        <v>38</v>
      </c>
      <c r="N229" t="s">
        <v>39</v>
      </c>
      <c r="O229" t="str">
        <f>PROPER('[1]Основной сток'!F226)</f>
        <v>Nike</v>
      </c>
      <c r="P229" t="str">
        <f>'[1]Основной сток'!M226</f>
        <v>Зелёный</v>
      </c>
      <c r="R229" t="s">
        <v>41</v>
      </c>
      <c r="S229" t="s">
        <v>42</v>
      </c>
      <c r="T229" t="str">
        <f t="shared" si="7"/>
        <v>Кроссовки и кеды</v>
      </c>
      <c r="U229">
        <f>'[1]Основной сток'!J226 - 1</f>
        <v>36.5</v>
      </c>
      <c r="V229" t="s">
        <v>43</v>
      </c>
      <c r="X229" t="s">
        <v>44</v>
      </c>
      <c r="Y229" t="s">
        <v>45</v>
      </c>
    </row>
    <row r="230" spans="1:25" x14ac:dyDescent="0.15">
      <c r="A230" s="6">
        <f>'[1]Основной сток'!A227</f>
        <v>3080309</v>
      </c>
      <c r="B230" t="s">
        <v>33</v>
      </c>
      <c r="D230" t="s">
        <v>34</v>
      </c>
      <c r="E230" t="s">
        <v>35</v>
      </c>
      <c r="F230" s="7" t="str">
        <f>PROPER(LEFT('[1]Основной сток'!I227,FIND(CHAR(10),'[1]Основной сток'!I227&amp;CHAR(10))-1))</f>
        <v>Dunk Low Gs 'Michigan State'</v>
      </c>
      <c r="G230" t="str">
        <f>F230 &amp; ", " &amp; '[1]Основной сток'!H227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сток'!J227 &amp; " / RU " &amp;
INDEX('[1]Размерная сетка'!$B$2:$B$40,MATCH('[1]Основной сток'!J227,'[1]Размерная сетка'!$A$2:$A$40,0)) &amp; " / US " &amp;
INDEX('[1]Размерная сетка'!$C$2:$C$40,MATCH('[1]Основной сток'!J227,'[1]Размерная сетка'!$A$2:$A$40,0)) &amp; " / см " &amp;
INDEX('[1]Размерная сетка'!$D$2:$D$40,MATCH('[1]Основной сток'!J227,'[1]Размерная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Dunk Low Gs 'Michigan State', CW1590-102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30" s="8">
        <f>'[1]Основной сток'!L227</f>
        <v>20000</v>
      </c>
      <c r="I230" s="1" t="str" cm="1">
        <f t="array" ref="I230">VLOOKUP(INDEX('[1]Основной сток'!H:H,ROW()-3),[1]Фотки!A:B,2,FALSE)</f>
        <v>https://i.ibb.co/8DYkfvBv/1-1.jpg</v>
      </c>
      <c r="J230" t="s">
        <v>36</v>
      </c>
      <c r="K230" t="s">
        <v>37</v>
      </c>
      <c r="L230" t="str">
        <f t="shared" si="6"/>
        <v>Женская обувь</v>
      </c>
      <c r="M230" t="s">
        <v>38</v>
      </c>
      <c r="N230" t="s">
        <v>39</v>
      </c>
      <c r="O230" t="str">
        <f>PROPER('[1]Основной сток'!F227)</f>
        <v>Nike</v>
      </c>
      <c r="P230" t="str">
        <f>'[1]Основной сток'!M227</f>
        <v>Зелёный</v>
      </c>
      <c r="R230" t="s">
        <v>41</v>
      </c>
      <c r="S230" t="s">
        <v>42</v>
      </c>
      <c r="T230" t="str">
        <f t="shared" si="7"/>
        <v>Кроссовки и кеды</v>
      </c>
      <c r="U230">
        <f>'[1]Основной сток'!J227 - 1</f>
        <v>37.5</v>
      </c>
      <c r="V230" t="s">
        <v>43</v>
      </c>
      <c r="X230" t="s">
        <v>44</v>
      </c>
      <c r="Y230" t="s">
        <v>45</v>
      </c>
    </row>
    <row r="231" spans="1:25" x14ac:dyDescent="0.15">
      <c r="A231" s="6">
        <f>'[1]Основной сток'!A228</f>
        <v>3080310</v>
      </c>
      <c r="B231" t="s">
        <v>33</v>
      </c>
      <c r="D231" t="s">
        <v>34</v>
      </c>
      <c r="E231" t="s">
        <v>35</v>
      </c>
      <c r="F231" s="7" t="str">
        <f>PROPER(LEFT('[1]Основной сток'!I228,FIND(CHAR(10),'[1]Основной сток'!I228&amp;CHAR(10))-1))</f>
        <v>Dunk Low Gs 'Michigan State'</v>
      </c>
      <c r="G231" t="str">
        <f>F231 &amp; ", " &amp; '[1]Основной сток'!H228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сток'!J228 &amp; " / RU " &amp;
INDEX('[1]Размерная сетка'!$B$2:$B$40,MATCH('[1]Основной сток'!J228,'[1]Размерная сетка'!$A$2:$A$40,0)) &amp; " / US " &amp;
INDEX('[1]Размерная сетка'!$C$2:$C$40,MATCH('[1]Основной сток'!J228,'[1]Размерная сетка'!$A$2:$A$40,0)) &amp; " / см " &amp;
INDEX('[1]Размерная сетка'!$D$2:$D$40,MATCH('[1]Основной сток'!J228,'[1]Размерная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Dunk Low Gs 'Michigan State', CW1590-102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31" s="8">
        <f>'[1]Основной сток'!L228</f>
        <v>20000</v>
      </c>
      <c r="I231" s="1" t="str" cm="1">
        <f t="array" ref="I231">VLOOKUP(INDEX('[1]Основной сток'!H:H,ROW()-3),[1]Фотки!A:B,2,FALSE)</f>
        <v>https://i.ibb.co/8DYkfvBv/1-1.jpg</v>
      </c>
      <c r="J231" t="s">
        <v>36</v>
      </c>
      <c r="K231" t="s">
        <v>37</v>
      </c>
      <c r="L231" t="str">
        <f t="shared" si="6"/>
        <v>Женская обувь</v>
      </c>
      <c r="M231" t="s">
        <v>38</v>
      </c>
      <c r="N231" t="s">
        <v>39</v>
      </c>
      <c r="O231" t="str">
        <f>PROPER('[1]Основной сток'!F228)</f>
        <v>Nike</v>
      </c>
      <c r="P231" t="str">
        <f>'[1]Основной сток'!M228</f>
        <v>Зелёный</v>
      </c>
      <c r="R231" t="s">
        <v>41</v>
      </c>
      <c r="S231" t="s">
        <v>42</v>
      </c>
      <c r="T231" t="str">
        <f t="shared" si="7"/>
        <v>Кроссовки и кеды</v>
      </c>
      <c r="U231">
        <f>'[1]Основной сток'!J228 - 1</f>
        <v>38</v>
      </c>
      <c r="V231" t="s">
        <v>43</v>
      </c>
      <c r="X231" t="s">
        <v>44</v>
      </c>
      <c r="Y231" t="s">
        <v>45</v>
      </c>
    </row>
    <row r="232" spans="1:25" x14ac:dyDescent="0.15">
      <c r="A232" s="6">
        <f>'[1]Основной сток'!A229</f>
        <v>3080311</v>
      </c>
      <c r="B232" t="s">
        <v>33</v>
      </c>
      <c r="D232" t="s">
        <v>34</v>
      </c>
      <c r="E232" t="s">
        <v>35</v>
      </c>
      <c r="F232" s="7" t="str">
        <f>PROPER(LEFT('[1]Основной сток'!I229,FIND(CHAR(10),'[1]Основной сток'!I229&amp;CHAR(10))-1))</f>
        <v>Dunk Low Gs 'Michigan State'</v>
      </c>
      <c r="G232" t="str">
        <f>F232 &amp; ", " &amp; '[1]Основной сток'!H229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сток'!J229 &amp; " / RU " &amp;
INDEX('[1]Размерная сетка'!$B$2:$B$40,MATCH('[1]Основной сток'!J229,'[1]Размерная сетка'!$A$2:$A$40,0)) &amp; " / US " &amp;
INDEX('[1]Размерная сетка'!$C$2:$C$40,MATCH('[1]Основной сток'!J229,'[1]Размерная сетка'!$A$2:$A$40,0)) &amp; " / см " &amp;
INDEX('[1]Размерная сетка'!$D$2:$D$40,MATCH('[1]Основной сток'!J229,'[1]Размерная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Dunk Low Gs 'Michigan State', CW1590-102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32" s="8">
        <f>'[1]Основной сток'!L229</f>
        <v>20000</v>
      </c>
      <c r="I232" s="1" t="str" cm="1">
        <f t="array" ref="I232">VLOOKUP(INDEX('[1]Основной сток'!H:H,ROW()-3),[1]Фотки!A:B,2,FALSE)</f>
        <v>https://i.ibb.co/8DYkfvBv/1-1.jpg</v>
      </c>
      <c r="J232" t="s">
        <v>36</v>
      </c>
      <c r="K232" t="s">
        <v>37</v>
      </c>
      <c r="L232" t="str">
        <f t="shared" si="6"/>
        <v>Женская обувь</v>
      </c>
      <c r="M232" t="s">
        <v>38</v>
      </c>
      <c r="N232" t="s">
        <v>39</v>
      </c>
      <c r="O232" t="str">
        <f>PROPER('[1]Основной сток'!F229)</f>
        <v>Nike</v>
      </c>
      <c r="P232" t="str">
        <f>'[1]Основной сток'!M229</f>
        <v>Зелёный</v>
      </c>
      <c r="R232" t="s">
        <v>41</v>
      </c>
      <c r="S232" t="s">
        <v>42</v>
      </c>
      <c r="T232" t="str">
        <f t="shared" si="7"/>
        <v>Кроссовки и кеды</v>
      </c>
      <c r="U232">
        <f>'[1]Основной сток'!J229 - 1</f>
        <v>39</v>
      </c>
      <c r="V232" t="s">
        <v>43</v>
      </c>
      <c r="X232" t="s">
        <v>44</v>
      </c>
      <c r="Y232" t="s">
        <v>45</v>
      </c>
    </row>
    <row r="233" spans="1:25" x14ac:dyDescent="0.15">
      <c r="A233" s="6">
        <f>'[1]Основной сток'!A230</f>
        <v>3080322</v>
      </c>
      <c r="B233" t="s">
        <v>33</v>
      </c>
      <c r="D233" t="s">
        <v>34</v>
      </c>
      <c r="E233" t="s">
        <v>35</v>
      </c>
      <c r="F233" s="7" t="str">
        <f>PROPER(LEFT('[1]Основной сток'!I230,FIND(CHAR(10),'[1]Основной сток'!I230&amp;CHAR(10))-1))</f>
        <v>Samba Og Burgundy</v>
      </c>
      <c r="G233" t="str">
        <f>F233 &amp; ", " &amp; '[1]Основной сток'!H230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сток'!J230 &amp; " / RU " &amp;
INDEX('[1]Размерная сетка'!$B$2:$B$40,MATCH('[1]Основной сток'!J230,'[1]Размерная сетка'!$A$2:$A$40,0)) &amp; " / US " &amp;
INDEX('[1]Размерная сетка'!$C$2:$C$40,MATCH('[1]Основной сток'!J230,'[1]Размерная сетка'!$A$2:$A$40,0)) &amp; " / см " &amp;
INDEX('[1]Размерная сетка'!$D$2:$D$40,MATCH('[1]Основной сток'!J230,'[1]Размерная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Samba Og Burgundy, IF3813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33" s="8">
        <f>'[1]Основной сток'!L230</f>
        <v>23500</v>
      </c>
      <c r="I233" s="1" t="str" cm="1">
        <f t="array" ref="I233">VLOOKUP(INDEX('[1]Основной сток'!H:H,ROW()-3),[1]Фотки!A:B,2,FALSE)</f>
        <v>https://i.ibb.co/3yfgdfd2/1.jpg|https://i.ibb.co/jsSSW0m/2.jpg|https://i.ibb.co/fVHBYNLJ/3.jpg|https://i.ibb.co/zWdfTyXP/4.jpg</v>
      </c>
      <c r="J233" t="s">
        <v>36</v>
      </c>
      <c r="K233" t="s">
        <v>37</v>
      </c>
      <c r="L233" t="str">
        <f t="shared" si="6"/>
        <v>Женская обувь</v>
      </c>
      <c r="M233" t="s">
        <v>38</v>
      </c>
      <c r="N233" t="s">
        <v>39</v>
      </c>
      <c r="O233" t="str">
        <f>PROPER('[1]Основной сток'!F230)</f>
        <v>Adidas</v>
      </c>
      <c r="P233" t="str">
        <f>'[1]Основной сток'!M230</f>
        <v>Белый</v>
      </c>
      <c r="R233" t="s">
        <v>41</v>
      </c>
      <c r="S233" t="s">
        <v>42</v>
      </c>
      <c r="T233" t="str">
        <f t="shared" si="7"/>
        <v>Кроссовки и кеды</v>
      </c>
      <c r="U233">
        <f>'[1]Основной сток'!J230 - 1</f>
        <v>38</v>
      </c>
      <c r="V233" t="s">
        <v>43</v>
      </c>
      <c r="X233" t="s">
        <v>44</v>
      </c>
      <c r="Y233" t="s">
        <v>45</v>
      </c>
    </row>
    <row r="234" spans="1:25" x14ac:dyDescent="0.15">
      <c r="A234" s="6">
        <f>'[1]Основной сток'!A231</f>
        <v>3080323</v>
      </c>
      <c r="B234" t="s">
        <v>33</v>
      </c>
      <c r="D234" t="s">
        <v>34</v>
      </c>
      <c r="E234" t="s">
        <v>35</v>
      </c>
      <c r="F234" s="7" t="str">
        <f>PROPER(LEFT('[1]Основной сток'!I231,FIND(CHAR(10),'[1]Основной сток'!I231&amp;CHAR(10))-1))</f>
        <v>Samba Og Burgundy</v>
      </c>
      <c r="G234" t="str">
        <f>F234 &amp; ", " &amp; '[1]Основной сток'!H231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сток'!J231 &amp; " / RU " &amp;
INDEX('[1]Размерная сетка'!$B$2:$B$40,MATCH('[1]Основной сток'!J231,'[1]Размерная сетка'!$A$2:$A$40,0)) &amp; " / US " &amp;
INDEX('[1]Размерная сетка'!$C$2:$C$40,MATCH('[1]Основной сток'!J231,'[1]Размерная сетка'!$A$2:$A$40,0)) &amp; " / см " &amp;
INDEX('[1]Размерная сетка'!$D$2:$D$40,MATCH('[1]Основной сток'!J231,'[1]Размерная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Samba Og Burgundy, IF3813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34" s="8">
        <f>'[1]Основной сток'!L231</f>
        <v>23500</v>
      </c>
      <c r="I234" s="1" t="str" cm="1">
        <f t="array" ref="I234">VLOOKUP(INDEX('[1]Основной сток'!H:H,ROW()-3),[1]Фотки!A:B,2,FALSE)</f>
        <v>https://i.ibb.co/3yfgdfd2/1.jpg|https://i.ibb.co/jsSSW0m/2.jpg|https://i.ibb.co/fVHBYNLJ/3.jpg|https://i.ibb.co/zWdfTyXP/4.jpg</v>
      </c>
      <c r="J234" t="s">
        <v>36</v>
      </c>
      <c r="K234" t="s">
        <v>37</v>
      </c>
      <c r="L234" t="str">
        <f t="shared" si="6"/>
        <v>Женская обувь</v>
      </c>
      <c r="M234" t="s">
        <v>38</v>
      </c>
      <c r="N234" t="s">
        <v>39</v>
      </c>
      <c r="O234" t="str">
        <f>PROPER('[1]Основной сток'!F231)</f>
        <v>Adidas</v>
      </c>
      <c r="P234" t="str">
        <f>'[1]Основной сток'!M231</f>
        <v>Белый</v>
      </c>
      <c r="R234" t="s">
        <v>41</v>
      </c>
      <c r="S234" t="s">
        <v>42</v>
      </c>
      <c r="T234" t="str">
        <f t="shared" si="7"/>
        <v>Кроссовки и кеды</v>
      </c>
      <c r="U234">
        <f>'[1]Основной сток'!J231 - 1</f>
        <v>39</v>
      </c>
      <c r="V234" t="s">
        <v>43</v>
      </c>
      <c r="X234" t="s">
        <v>44</v>
      </c>
      <c r="Y234" t="s">
        <v>45</v>
      </c>
    </row>
    <row r="235" spans="1:25" x14ac:dyDescent="0.15">
      <c r="A235" s="6">
        <f>'[1]Основной сток'!A232</f>
        <v>3080324</v>
      </c>
      <c r="B235" t="s">
        <v>33</v>
      </c>
      <c r="D235" t="s">
        <v>34</v>
      </c>
      <c r="E235" t="s">
        <v>35</v>
      </c>
      <c r="F235" s="7" t="str">
        <f>PROPER(LEFT('[1]Основной сток'!I232,FIND(CHAR(10),'[1]Основной сток'!I232&amp;CHAR(10))-1))</f>
        <v>Samba Og Burgundy</v>
      </c>
      <c r="G235" t="str">
        <f>F235 &amp; ", " &amp; '[1]Основной сток'!H232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сток'!J232 &amp; " / RU " &amp;
INDEX('[1]Размерная сетка'!$B$2:$B$40,MATCH('[1]Основной сток'!J232,'[1]Размерная сетка'!$A$2:$A$40,0)) &amp; " / US " &amp;
INDEX('[1]Размерная сетка'!$C$2:$C$40,MATCH('[1]Основной сток'!J232,'[1]Размерная сетка'!$A$2:$A$40,0)) &amp; " / см " &amp;
INDEX('[1]Размерная сетка'!$D$2:$D$40,MATCH('[1]Основной сток'!J232,'[1]Размерная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Samba Og Burgundy, IF3813
• В наличии в Москве
• Оригинал, можно проверить при получении
• Совершенно новые, полный комплект
• Размер: EU 40,5 / RU 39,5 / US 9 / см 25,3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35" s="8">
        <f>'[1]Основной сток'!L232</f>
        <v>23500</v>
      </c>
      <c r="I235" s="1" t="str" cm="1">
        <f t="array" ref="I235">VLOOKUP(INDEX('[1]Основной сток'!H:H,ROW()-3),[1]Фотки!A:B,2,FALSE)</f>
        <v>https://i.ibb.co/3yfgdfd2/1.jpg|https://i.ibb.co/jsSSW0m/2.jpg|https://i.ibb.co/fVHBYNLJ/3.jpg|https://i.ibb.co/zWdfTyXP/4.jpg</v>
      </c>
      <c r="J235" t="s">
        <v>36</v>
      </c>
      <c r="K235" t="s">
        <v>37</v>
      </c>
      <c r="L235" t="str">
        <f t="shared" si="6"/>
        <v>Женская обувь</v>
      </c>
      <c r="M235" t="s">
        <v>38</v>
      </c>
      <c r="N235" t="s">
        <v>39</v>
      </c>
      <c r="O235" t="str">
        <f>PROPER('[1]Основной сток'!F232)</f>
        <v>Adidas</v>
      </c>
      <c r="P235" t="str">
        <f>'[1]Основной сток'!M232</f>
        <v>Белый</v>
      </c>
      <c r="R235" t="s">
        <v>41</v>
      </c>
      <c r="S235" t="s">
        <v>42</v>
      </c>
      <c r="T235" t="str">
        <f t="shared" si="7"/>
        <v>Кроссовки и кеды</v>
      </c>
      <c r="U235">
        <f>'[1]Основной сток'!J232 - 1</f>
        <v>39.5</v>
      </c>
      <c r="V235" t="s">
        <v>43</v>
      </c>
      <c r="X235" t="s">
        <v>44</v>
      </c>
      <c r="Y235" t="s">
        <v>45</v>
      </c>
    </row>
    <row r="236" spans="1:25" x14ac:dyDescent="0.15">
      <c r="A236" s="6">
        <f>'[1]Основной сток'!A233</f>
        <v>3080325</v>
      </c>
      <c r="B236" t="s">
        <v>33</v>
      </c>
      <c r="D236" t="s">
        <v>34</v>
      </c>
      <c r="E236" t="s">
        <v>35</v>
      </c>
      <c r="F236" s="7" t="str">
        <f>PROPER(LEFT('[1]Основной сток'!I233,FIND(CHAR(10),'[1]Основной сток'!I233&amp;CHAR(10))-1))</f>
        <v>Adidas Gazelle «Collegiate Green Pink»</v>
      </c>
      <c r="G236" t="str">
        <f>F236 &amp; ", " &amp; '[1]Основной сток'!H233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сток'!J233 &amp; " / RU " &amp;
INDEX('[1]Размерная сетка'!$B$2:$B$40,MATCH('[1]Основной сток'!J233,'[1]Размерная сетка'!$A$2:$A$40,0)) &amp; " / US " &amp;
INDEX('[1]Размерная сетка'!$C$2:$C$40,MATCH('[1]Основной сток'!J233,'[1]Размерная сетка'!$A$2:$A$40,0)) &amp; " / см " &amp;
INDEX('[1]Размерная сетка'!$D$2:$D$40,MATCH('[1]Основной сток'!J233,'[1]Размерная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«Collegiate Green Pink», IG5929
• В наличии в Москве
• Оригинал, можно проверить при получении
• Совершенно новые, полный комплект
• Размер: EU 36,5 / RU 35,5 / US 6 / см 22,7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36" s="8">
        <f>'[1]Основной сток'!L233</f>
        <v>24000</v>
      </c>
      <c r="I236" s="1" t="str" cm="1">
        <f t="array" ref="I236">VLOOKUP(INDEX('[1]Основной сток'!H:H,ROW()-3),[1]Фотки!A:B,2,FALSE)</f>
        <v>https://i.ibb.co/1tS80vWw/1.jpg|https://i.ibb.co/FqWSN2sx/2.jpg|https://i.ibb.co/3V0whNk/3.jpg|https://i.ibb.co/zCwbRGP/4.jpg</v>
      </c>
      <c r="J236" t="s">
        <v>36</v>
      </c>
      <c r="K236" t="s">
        <v>37</v>
      </c>
      <c r="L236" t="str">
        <f t="shared" si="6"/>
        <v>Женская обувь</v>
      </c>
      <c r="M236" t="s">
        <v>38</v>
      </c>
      <c r="N236" t="s">
        <v>39</v>
      </c>
      <c r="O236" t="str">
        <f>PROPER('[1]Основной сток'!F233)</f>
        <v>Adidas</v>
      </c>
      <c r="P236" t="str">
        <f>'[1]Основной сток'!M233</f>
        <v>Зелёный</v>
      </c>
      <c r="R236" t="s">
        <v>41</v>
      </c>
      <c r="S236" t="s">
        <v>42</v>
      </c>
      <c r="T236" t="str">
        <f t="shared" si="7"/>
        <v>Кроссовки и кеды</v>
      </c>
      <c r="U236">
        <f>'[1]Основной сток'!J233 - 1</f>
        <v>35.5</v>
      </c>
      <c r="V236" t="s">
        <v>43</v>
      </c>
      <c r="X236" t="s">
        <v>44</v>
      </c>
      <c r="Y236" t="s">
        <v>45</v>
      </c>
    </row>
    <row r="237" spans="1:25" x14ac:dyDescent="0.15">
      <c r="A237" s="6">
        <f>'[1]Основной сток'!A234</f>
        <v>3080326</v>
      </c>
      <c r="B237" t="s">
        <v>33</v>
      </c>
      <c r="D237" t="s">
        <v>34</v>
      </c>
      <c r="E237" t="s">
        <v>35</v>
      </c>
      <c r="F237" s="7" t="str">
        <f>PROPER(LEFT('[1]Основной сток'!I234,FIND(CHAR(10),'[1]Основной сток'!I234&amp;CHAR(10))-1))</f>
        <v>Adidas Gazelle «Collegiate Green Pink»</v>
      </c>
      <c r="G237" t="str">
        <f>F237 &amp; ", " &amp; '[1]Основной сток'!H234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сток'!J234 &amp; " / RU " &amp;
INDEX('[1]Размерная сетка'!$B$2:$B$40,MATCH('[1]Основной сток'!J234,'[1]Размерная сетка'!$A$2:$A$40,0)) &amp; " / US " &amp;
INDEX('[1]Размерная сетка'!$C$2:$C$40,MATCH('[1]Основной сток'!J234,'[1]Размерная сетка'!$A$2:$A$40,0)) &amp; " / см " &amp;
INDEX('[1]Размерная сетка'!$D$2:$D$40,MATCH('[1]Основной сток'!J234,'[1]Размерная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«Collegiate Green Pink», IG5929
• В наличии в Москве
• Оригинал, можно проверить при получении
• Совершенно новые, полный комплект
• Размер: EU 37 / RU 36 / US 6,5 / см 23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37" s="8">
        <f>'[1]Основной сток'!L234</f>
        <v>24000</v>
      </c>
      <c r="I237" s="1" t="str" cm="1">
        <f t="array" ref="I237">VLOOKUP(INDEX('[1]Основной сток'!H:H,ROW()-3),[1]Фотки!A:B,2,FALSE)</f>
        <v>https://i.ibb.co/1tS80vWw/1.jpg|https://i.ibb.co/FqWSN2sx/2.jpg|https://i.ibb.co/3V0whNk/3.jpg|https://i.ibb.co/zCwbRGP/4.jpg</v>
      </c>
      <c r="J237" t="s">
        <v>36</v>
      </c>
      <c r="K237" t="s">
        <v>37</v>
      </c>
      <c r="L237" t="str">
        <f t="shared" si="6"/>
        <v>Женская обувь</v>
      </c>
      <c r="M237" t="s">
        <v>38</v>
      </c>
      <c r="N237" t="s">
        <v>39</v>
      </c>
      <c r="O237" t="str">
        <f>PROPER('[1]Основной сток'!F234)</f>
        <v>Adidas</v>
      </c>
      <c r="P237" t="str">
        <f>'[1]Основной сток'!M234</f>
        <v>Зелёный</v>
      </c>
      <c r="R237" t="s">
        <v>41</v>
      </c>
      <c r="S237" t="s">
        <v>42</v>
      </c>
      <c r="T237" t="str">
        <f t="shared" si="7"/>
        <v>Кроссовки и кеды</v>
      </c>
      <c r="U237">
        <f>'[1]Основной сток'!J234 - 1</f>
        <v>36</v>
      </c>
      <c r="V237" t="s">
        <v>43</v>
      </c>
      <c r="X237" t="s">
        <v>44</v>
      </c>
      <c r="Y237" t="s">
        <v>45</v>
      </c>
    </row>
    <row r="238" spans="1:25" x14ac:dyDescent="0.15">
      <c r="A238" s="6">
        <f>'[1]Основной сток'!A235</f>
        <v>3080327</v>
      </c>
      <c r="B238" t="s">
        <v>33</v>
      </c>
      <c r="D238" t="s">
        <v>34</v>
      </c>
      <c r="E238" t="s">
        <v>35</v>
      </c>
      <c r="F238" s="7" t="str">
        <f>PROPER(LEFT('[1]Основной сток'!I235,FIND(CHAR(10),'[1]Основной сток'!I235&amp;CHAR(10))-1))</f>
        <v>Adidas Gazelle «Collegiate Green Pink»</v>
      </c>
      <c r="G238" t="str">
        <f>F238 &amp; ", " &amp; '[1]Основной сток'!H235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сток'!J235 &amp; " / RU " &amp;
INDEX('[1]Размерная сетка'!$B$2:$B$40,MATCH('[1]Основной сток'!J235,'[1]Размерная сетка'!$A$2:$A$40,0)) &amp; " / US " &amp;
INDEX('[1]Размерная сетка'!$C$2:$C$40,MATCH('[1]Основной сток'!J235,'[1]Размерная сетка'!$A$2:$A$40,0)) &amp; " / см " &amp;
INDEX('[1]Размерная сетка'!$D$2:$D$40,MATCH('[1]Основной сток'!J235,'[1]Размерная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«Collegiate Green Pink», IG5929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38" s="8">
        <f>'[1]Основной сток'!L235</f>
        <v>24000</v>
      </c>
      <c r="I238" s="1" t="str" cm="1">
        <f t="array" ref="I238">VLOOKUP(INDEX('[1]Основной сток'!H:H,ROW()-3),[1]Фотки!A:B,2,FALSE)</f>
        <v>https://i.ibb.co/1tS80vWw/1.jpg|https://i.ibb.co/FqWSN2sx/2.jpg|https://i.ibb.co/3V0whNk/3.jpg|https://i.ibb.co/zCwbRGP/4.jpg</v>
      </c>
      <c r="J238" t="s">
        <v>36</v>
      </c>
      <c r="K238" t="s">
        <v>37</v>
      </c>
      <c r="L238" t="str">
        <f t="shared" si="6"/>
        <v>Женская обувь</v>
      </c>
      <c r="M238" t="s">
        <v>38</v>
      </c>
      <c r="N238" t="s">
        <v>39</v>
      </c>
      <c r="O238" t="str">
        <f>PROPER('[1]Основной сток'!F235)</f>
        <v>Adidas</v>
      </c>
      <c r="P238" t="str">
        <f>'[1]Основной сток'!M235</f>
        <v>Зелёный</v>
      </c>
      <c r="R238" t="s">
        <v>41</v>
      </c>
      <c r="S238" t="s">
        <v>42</v>
      </c>
      <c r="T238" t="str">
        <f t="shared" si="7"/>
        <v>Кроссовки и кеды</v>
      </c>
      <c r="U238">
        <f>'[1]Основной сток'!J235 - 1</f>
        <v>37.5</v>
      </c>
      <c r="V238" t="s">
        <v>43</v>
      </c>
      <c r="X238" t="s">
        <v>44</v>
      </c>
      <c r="Y238" t="s">
        <v>45</v>
      </c>
    </row>
    <row r="239" spans="1:25" x14ac:dyDescent="0.15">
      <c r="A239" s="6">
        <f>'[1]Основной сток'!A236</f>
        <v>3080328</v>
      </c>
      <c r="B239" t="s">
        <v>33</v>
      </c>
      <c r="D239" t="s">
        <v>34</v>
      </c>
      <c r="E239" t="s">
        <v>35</v>
      </c>
      <c r="F239" s="7" t="str">
        <f>PROPER(LEFT('[1]Основной сток'!I236,FIND(CHAR(10),'[1]Основной сток'!I236&amp;CHAR(10))-1))</f>
        <v>Adidas Gazelle «Bliss Pink Purple»</v>
      </c>
      <c r="G239" t="str">
        <f>F239 &amp; ", " &amp; '[1]Основной сток'!H236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сток'!J236 &amp; " / RU " &amp;
INDEX('[1]Размерная сетка'!$B$2:$B$40,MATCH('[1]Основной сток'!J236,'[1]Размерная сетка'!$A$2:$A$40,0)) &amp; " / US " &amp;
INDEX('[1]Размерная сетка'!$C$2:$C$40,MATCH('[1]Основной сток'!J236,'[1]Размерная сетка'!$A$2:$A$40,0)) &amp; " / см " &amp;
INDEX('[1]Размерная сетка'!$D$2:$D$40,MATCH('[1]Основной сток'!J236,'[1]Размерная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«Bliss Pink Purple», IE7002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39" s="8">
        <f>'[1]Основной сток'!L236</f>
        <v>24000</v>
      </c>
      <c r="I239" s="1" t="str" cm="1">
        <f t="array" ref="I239">VLOOKUP(INDEX('[1]Основной сток'!H:H,ROW()-3),[1]Фотки!A:B,2,FALSE)</f>
        <v>https://i.ibb.co/XrmBVZfg/1.jpg|https://i.ibb.co/F4tFSCsM/2.jpg|https://i.ibb.co/7x2rn3TV/3.jpg|https://i.ibb.co/8D5KXGZt/4.jpg</v>
      </c>
      <c r="J239" t="s">
        <v>36</v>
      </c>
      <c r="K239" t="s">
        <v>37</v>
      </c>
      <c r="L239" t="str">
        <f t="shared" si="6"/>
        <v>Женская обувь</v>
      </c>
      <c r="M239" t="s">
        <v>38</v>
      </c>
      <c r="N239" t="s">
        <v>39</v>
      </c>
      <c r="O239" t="str">
        <f>PROPER('[1]Основной сток'!F236)</f>
        <v>Adidas</v>
      </c>
      <c r="P239" t="str">
        <f>'[1]Основной сток'!M236</f>
        <v>Розовый</v>
      </c>
      <c r="R239" t="s">
        <v>41</v>
      </c>
      <c r="S239" t="s">
        <v>42</v>
      </c>
      <c r="T239" t="str">
        <f t="shared" si="7"/>
        <v>Кроссовки и кеды</v>
      </c>
      <c r="U239">
        <f>'[1]Основной сток'!J236 - 1</f>
        <v>37.5</v>
      </c>
      <c r="V239" t="s">
        <v>43</v>
      </c>
      <c r="X239" t="s">
        <v>44</v>
      </c>
      <c r="Y239" t="s">
        <v>45</v>
      </c>
    </row>
    <row r="240" spans="1:25" x14ac:dyDescent="0.15">
      <c r="A240" s="6">
        <f>'[1]Основной сток'!A237</f>
        <v>3080330</v>
      </c>
      <c r="B240" t="s">
        <v>33</v>
      </c>
      <c r="D240" t="s">
        <v>34</v>
      </c>
      <c r="E240" t="s">
        <v>35</v>
      </c>
      <c r="F240" s="7" t="str">
        <f>PROPER(LEFT('[1]Основной сток'!I237,FIND(CHAR(10),'[1]Основной сток'!I237&amp;CHAR(10))-1))</f>
        <v xml:space="preserve">Jordan 1 Low Lucky Green </v>
      </c>
      <c r="G240" t="str">
        <f>F240 &amp; ", " &amp; '[1]Основной сток'!H237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сток'!J237 &amp; " / RU " &amp;
INDEX('[1]Размерная сетка'!$B$2:$B$40,MATCH('[1]Основной сток'!J237,'[1]Размерная сетка'!$A$2:$A$40,0)) &amp; " / US " &amp;
INDEX('[1]Размерная сетка'!$C$2:$C$40,MATCH('[1]Основной сток'!J237,'[1]Размерная сетка'!$A$2:$A$40,0)) &amp; " / см " &amp;
INDEX('[1]Размерная сетка'!$D$2:$D$40,MATCH('[1]Основной сток'!J237,'[1]Размерная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Low Lucky Green , DC0774-304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40" s="8">
        <f>'[1]Основной сток'!L237</f>
        <v>9000</v>
      </c>
      <c r="I240" s="1" t="str" cm="1">
        <f t="array" ref="I240">VLOOKUP(INDEX('[1]Основной сток'!H:H,ROW()-3),[1]Фотки!A:B,2,FALSE)</f>
        <v>https://i.ibb.co/39d5926j/1.jpg|https://i.ibb.co/395tdmQb/2.jpg|https://i.ibb.co/GvGVqkDP/3.jpg|https://i.ibb.co/Qj73H6Dy/4.jpg</v>
      </c>
      <c r="J240" t="s">
        <v>36</v>
      </c>
      <c r="K240" t="s">
        <v>37</v>
      </c>
      <c r="L240" t="str">
        <f t="shared" si="6"/>
        <v>Женская обувь</v>
      </c>
      <c r="M240" t="s">
        <v>38</v>
      </c>
      <c r="N240" t="s">
        <v>39</v>
      </c>
      <c r="O240" t="str">
        <f>PROPER('[1]Основной сток'!F237)</f>
        <v>Jordan</v>
      </c>
      <c r="P240" t="str">
        <f>'[1]Основной сток'!M237</f>
        <v>Зелёный</v>
      </c>
      <c r="R240" t="s">
        <v>41</v>
      </c>
      <c r="S240" t="s">
        <v>42</v>
      </c>
      <c r="T240" t="str">
        <f t="shared" si="7"/>
        <v>Кроссовки и кеды</v>
      </c>
      <c r="U240">
        <f>'[1]Основной сток'!J237 - 1</f>
        <v>38</v>
      </c>
      <c r="V240" t="s">
        <v>43</v>
      </c>
      <c r="X240" t="s">
        <v>44</v>
      </c>
      <c r="Y240" t="s">
        <v>45</v>
      </c>
    </row>
    <row r="241" spans="1:25" x14ac:dyDescent="0.15">
      <c r="A241" s="6">
        <f>'[1]Основной сток'!A238</f>
        <v>3083820</v>
      </c>
      <c r="B241" t="s">
        <v>33</v>
      </c>
      <c r="D241" t="s">
        <v>34</v>
      </c>
      <c r="E241" t="s">
        <v>35</v>
      </c>
      <c r="F241" s="7" t="str">
        <f>PROPER(LEFT('[1]Основной сток'!I238,FIND(CHAR(10),'[1]Основной сток'!I238&amp;CHAR(10))-1))</f>
        <v>Adidas Samba Og "Maroon"</v>
      </c>
      <c r="G241" t="str">
        <f>F241 &amp; ", " &amp; '[1]Основной сток'!H238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сток'!J238 &amp; " / RU " &amp;
INDEX('[1]Размерная сетка'!$B$2:$B$40,MATCH('[1]Основной сток'!J238,'[1]Размерная сетка'!$A$2:$A$40,0)) &amp; " / US " &amp;
INDEX('[1]Размерная сетка'!$C$2:$C$40,MATCH('[1]Основной сток'!J238,'[1]Размерная сетка'!$A$2:$A$40,0)) &amp; " / см " &amp;
INDEX('[1]Размерная сетка'!$D$2:$D$40,MATCH('[1]Основной сток'!J238,'[1]Размерная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Og "Maroon", ID0477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41" s="8">
        <f>'[1]Основной сток'!L238</f>
        <v>37900</v>
      </c>
      <c r="I241" s="1" t="str" cm="1">
        <f t="array" ref="I241">VLOOKUP(INDEX('[1]Основной сток'!H:H,ROW()-3),[1]Фотки!A:B,2,FALSE)</f>
        <v>https://i.ibb.co/s9xQ51zQ/1.jpg|https://i.ibb.co/MkGD5Pt4/2.jpg|https://i.ibb.co/zhND30rN/3.jpg|https://i.ibb.co/PZBW7CVS/4.jpg</v>
      </c>
      <c r="J241" t="s">
        <v>36</v>
      </c>
      <c r="K241" t="s">
        <v>37</v>
      </c>
      <c r="L241" t="str">
        <f t="shared" si="6"/>
        <v>Женская обувь</v>
      </c>
      <c r="M241" t="s">
        <v>38</v>
      </c>
      <c r="N241" t="s">
        <v>39</v>
      </c>
      <c r="O241" t="str">
        <f>PROPER('[1]Основной сток'!F238)</f>
        <v>Adidas</v>
      </c>
      <c r="P241" t="str">
        <f>'[1]Основной сток'!M238</f>
        <v>Красный</v>
      </c>
      <c r="R241" t="s">
        <v>41</v>
      </c>
      <c r="S241" t="s">
        <v>42</v>
      </c>
      <c r="T241" t="str">
        <f t="shared" si="7"/>
        <v>Кроссовки и кеды</v>
      </c>
      <c r="U241">
        <f>'[1]Основной сток'!J238 - 1</f>
        <v>37</v>
      </c>
      <c r="V241" t="s">
        <v>43</v>
      </c>
      <c r="X241" t="s">
        <v>44</v>
      </c>
      <c r="Y241" t="s">
        <v>45</v>
      </c>
    </row>
    <row r="242" spans="1:25" x14ac:dyDescent="0.15">
      <c r="A242" s="6">
        <f>'[1]Основной сток'!A239</f>
        <v>3083825</v>
      </c>
      <c r="B242" t="s">
        <v>33</v>
      </c>
      <c r="D242" t="s">
        <v>34</v>
      </c>
      <c r="E242" t="s">
        <v>35</v>
      </c>
      <c r="F242" s="7" t="str">
        <f>PROPER(LEFT('[1]Основной сток'!I239,FIND(CHAR(10),'[1]Основной сток'!I239&amp;CHAR(10))-1))</f>
        <v>Samba Og 'Preloved Brown'</v>
      </c>
      <c r="G242" t="str">
        <f>F242 &amp; ", " &amp; '[1]Основной сток'!H239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сток'!J239 &amp; " / RU " &amp;
INDEX('[1]Размерная сетка'!$B$2:$B$40,MATCH('[1]Основной сток'!J239,'[1]Размерная сетка'!$A$2:$A$40,0)) &amp; " / US " &amp;
INDEX('[1]Размерная сетка'!$C$2:$C$40,MATCH('[1]Основной сток'!J239,'[1]Размерная сетка'!$A$2:$A$40,0)) &amp; " / см " &amp;
INDEX('[1]Размерная сетка'!$D$2:$D$40,MATCH('[1]Основной сток'!J239,'[1]Размерная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Samba Og 'Preloved Brown', IG1357
• В наличии в Москве
• Оригинал, можно проверить при получении
• Совершенно новые, полный комплект
• Размер: EU 37 / RU 36 / US 6,5 / см 23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42" s="8">
        <f>'[1]Основной сток'!L239</f>
        <v>25000</v>
      </c>
      <c r="I242" s="1" t="str" cm="1">
        <f t="array" ref="I242">VLOOKUP(INDEX('[1]Основной сток'!H:H,ROW()-3),[1]Фотки!A:B,2,FALSE)</f>
        <v>https://i.ibb.co/d04TC9Lh/1-1.jpg|https://i.ibb.co/DPDNHTrQ/2.jpg|https://i.ibb.co/rT1c94x/3.jpg|https://i.ibb.co/3mH41P5Y/4.jpg</v>
      </c>
      <c r="J242" t="s">
        <v>36</v>
      </c>
      <c r="K242" t="s">
        <v>37</v>
      </c>
      <c r="L242" t="str">
        <f t="shared" si="6"/>
        <v>Женская обувь</v>
      </c>
      <c r="M242" t="s">
        <v>38</v>
      </c>
      <c r="N242" t="s">
        <v>39</v>
      </c>
      <c r="O242" t="str">
        <f>PROPER('[1]Основной сток'!F239)</f>
        <v>Adidas</v>
      </c>
      <c r="P242" t="str">
        <f>'[1]Основной сток'!M239</f>
        <v>Коричневый</v>
      </c>
      <c r="R242" t="s">
        <v>41</v>
      </c>
      <c r="S242" t="s">
        <v>42</v>
      </c>
      <c r="T242" t="str">
        <f t="shared" si="7"/>
        <v>Кроссовки и кеды</v>
      </c>
      <c r="U242">
        <f>'[1]Основной сток'!J239 - 1</f>
        <v>36</v>
      </c>
      <c r="V242" t="s">
        <v>43</v>
      </c>
      <c r="X242" t="s">
        <v>44</v>
      </c>
      <c r="Y242" t="s">
        <v>45</v>
      </c>
    </row>
    <row r="243" spans="1:25" x14ac:dyDescent="0.15">
      <c r="A243" s="6">
        <f>'[1]Основной сток'!A240</f>
        <v>3083826</v>
      </c>
      <c r="B243" t="s">
        <v>33</v>
      </c>
      <c r="D243" t="s">
        <v>34</v>
      </c>
      <c r="E243" t="s">
        <v>35</v>
      </c>
      <c r="F243" s="7" t="str">
        <f>PROPER(LEFT('[1]Основной сток'!I240,FIND(CHAR(10),'[1]Основной сток'!I240&amp;CHAR(10))-1))</f>
        <v>Samba Og 'Preloved Brown'</v>
      </c>
      <c r="G243" t="str">
        <f>F243 &amp; ", " &amp; '[1]Основной сток'!H240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сток'!J240 &amp; " / RU " &amp;
INDEX('[1]Размерная сетка'!$B$2:$B$40,MATCH('[1]Основной сток'!J240,'[1]Размерная сетка'!$A$2:$A$40,0)) &amp; " / US " &amp;
INDEX('[1]Размерная сетка'!$C$2:$C$40,MATCH('[1]Основной сток'!J240,'[1]Размерная сетка'!$A$2:$A$40,0)) &amp; " / см " &amp;
INDEX('[1]Размерная сетка'!$D$2:$D$40,MATCH('[1]Основной сток'!J240,'[1]Размерная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Samba Og 'Preloved Brown', IG1357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43" s="8">
        <f>'[1]Основной сток'!L240</f>
        <v>25000</v>
      </c>
      <c r="I243" s="1" t="str" cm="1">
        <f t="array" ref="I243">VLOOKUP(INDEX('[1]Основной сток'!H:H,ROW()-3),[1]Фотки!A:B,2,FALSE)</f>
        <v>https://i.ibb.co/d04TC9Lh/1-1.jpg|https://i.ibb.co/DPDNHTrQ/2.jpg|https://i.ibb.co/rT1c94x/3.jpg|https://i.ibb.co/3mH41P5Y/4.jpg</v>
      </c>
      <c r="J243" t="s">
        <v>36</v>
      </c>
      <c r="K243" t="s">
        <v>37</v>
      </c>
      <c r="L243" t="str">
        <f t="shared" si="6"/>
        <v>Женская обувь</v>
      </c>
      <c r="M243" t="s">
        <v>38</v>
      </c>
      <c r="N243" t="s">
        <v>39</v>
      </c>
      <c r="O243" t="str">
        <f>PROPER('[1]Основной сток'!F240)</f>
        <v>Adidas</v>
      </c>
      <c r="P243" t="str">
        <f>'[1]Основной сток'!M240</f>
        <v>Коричневый</v>
      </c>
      <c r="R243" t="s">
        <v>41</v>
      </c>
      <c r="S243" t="s">
        <v>42</v>
      </c>
      <c r="T243" t="str">
        <f t="shared" si="7"/>
        <v>Кроссовки и кеды</v>
      </c>
      <c r="U243">
        <f>'[1]Основной сток'!J240 - 1</f>
        <v>38</v>
      </c>
      <c r="V243" t="s">
        <v>43</v>
      </c>
      <c r="X243" t="s">
        <v>44</v>
      </c>
      <c r="Y243" t="s">
        <v>45</v>
      </c>
    </row>
    <row r="244" spans="1:25" x14ac:dyDescent="0.15">
      <c r="A244" s="6">
        <f>'[1]Основной сток'!A241</f>
        <v>3084883</v>
      </c>
      <c r="B244" t="s">
        <v>33</v>
      </c>
      <c r="D244" t="s">
        <v>34</v>
      </c>
      <c r="E244" t="s">
        <v>35</v>
      </c>
      <c r="F244" s="7" t="str">
        <f>PROPER(LEFT('[1]Основной сток'!I241,FIND(CHAR(10),'[1]Основной сток'!I241&amp;CHAR(10))-1))</f>
        <v>Adidas Wmns Handball Spezial 'Clear Pink Arctic Night'</v>
      </c>
      <c r="G244" t="str">
        <f>F244 &amp; ", " &amp; '[1]Основной сток'!H241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сток'!J241 &amp; " / RU " &amp;
INDEX('[1]Размерная сетка'!$B$2:$B$40,MATCH('[1]Основной сток'!J241,'[1]Размерная сетка'!$A$2:$A$40,0)) &amp; " / US " &amp;
INDEX('[1]Размерная сетка'!$C$2:$C$40,MATCH('[1]Основной сток'!J241,'[1]Размерная сетка'!$A$2:$A$40,0)) &amp; " / см " &amp;
INDEX('[1]Размерная сетка'!$D$2:$D$40,MATCH('[1]Основной сток'!J241,'[1]Размерная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Wmns Handball Spezial 'Clear Pink Arctic Night', IF6561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44" s="8">
        <f>'[1]Основной сток'!L241</f>
        <v>22000</v>
      </c>
      <c r="I244" s="1" t="str" cm="1">
        <f t="array" ref="I244">VLOOKUP(INDEX('[1]Основной сток'!H:H,ROW()-3),[1]Фотки!A:B,2,FALSE)</f>
        <v>https://i.ibb.co/czC3dZN/1.jpg</v>
      </c>
      <c r="J244" t="s">
        <v>36</v>
      </c>
      <c r="K244" t="s">
        <v>37</v>
      </c>
      <c r="L244" t="str">
        <f t="shared" si="6"/>
        <v>Женская обувь</v>
      </c>
      <c r="M244" t="s">
        <v>38</v>
      </c>
      <c r="N244" t="s">
        <v>39</v>
      </c>
      <c r="O244" t="str">
        <f>PROPER('[1]Основной сток'!F241)</f>
        <v>Adidas</v>
      </c>
      <c r="P244" t="str">
        <f>'[1]Основной сток'!M241</f>
        <v>Розовый</v>
      </c>
      <c r="R244" t="s">
        <v>41</v>
      </c>
      <c r="S244" t="s">
        <v>42</v>
      </c>
      <c r="T244" t="str">
        <f t="shared" si="7"/>
        <v>Кроссовки и кеды</v>
      </c>
      <c r="U244">
        <f>'[1]Основной сток'!J241 - 1</f>
        <v>37</v>
      </c>
      <c r="V244" t="s">
        <v>43</v>
      </c>
      <c r="X244" t="s">
        <v>44</v>
      </c>
      <c r="Y244" t="s">
        <v>45</v>
      </c>
    </row>
    <row r="245" spans="1:25" x14ac:dyDescent="0.15">
      <c r="A245" s="6">
        <f>'[1]Основной сток'!A242</f>
        <v>3084884</v>
      </c>
      <c r="B245" t="s">
        <v>33</v>
      </c>
      <c r="D245" t="s">
        <v>34</v>
      </c>
      <c r="E245" t="s">
        <v>35</v>
      </c>
      <c r="F245" s="7" t="str">
        <f>PROPER(LEFT('[1]Основной сток'!I242,FIND(CHAR(10),'[1]Основной сток'!I242&amp;CHAR(10))-1))</f>
        <v>Adidas Wmns Handball Spezial 'Clear Pink Arctic Night'</v>
      </c>
      <c r="G245" t="str">
        <f>F245 &amp; ", " &amp; '[1]Основной сток'!H242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сток'!J242 &amp; " / RU " &amp;
INDEX('[1]Размерная сетка'!$B$2:$B$40,MATCH('[1]Основной сток'!J242,'[1]Размерная сетка'!$A$2:$A$40,0)) &amp; " / US " &amp;
INDEX('[1]Размерная сетка'!$C$2:$C$40,MATCH('[1]Основной сток'!J242,'[1]Размерная сетка'!$A$2:$A$40,0)) &amp; " / см " &amp;
INDEX('[1]Размерная сетка'!$D$2:$D$40,MATCH('[1]Основной сток'!J242,'[1]Размерная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Wmns Handball Spezial 'Clear Pink Arctic Night', IF6561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45" s="8">
        <f>'[1]Основной сток'!L242</f>
        <v>22000</v>
      </c>
      <c r="I245" s="1" t="str" cm="1">
        <f t="array" ref="I245">VLOOKUP(INDEX('[1]Основной сток'!H:H,ROW()-3),[1]Фотки!A:B,2,FALSE)</f>
        <v>https://i.ibb.co/czC3dZN/1.jpg</v>
      </c>
      <c r="J245" t="s">
        <v>36</v>
      </c>
      <c r="K245" t="s">
        <v>37</v>
      </c>
      <c r="L245" t="str">
        <f t="shared" si="6"/>
        <v>Женская обувь</v>
      </c>
      <c r="M245" t="s">
        <v>38</v>
      </c>
      <c r="N245" t="s">
        <v>39</v>
      </c>
      <c r="O245" t="str">
        <f>PROPER('[1]Основной сток'!F242)</f>
        <v>Adidas</v>
      </c>
      <c r="P245" t="str">
        <f>'[1]Основной сток'!M242</f>
        <v>Розовый</v>
      </c>
      <c r="R245" t="s">
        <v>41</v>
      </c>
      <c r="S245" t="s">
        <v>42</v>
      </c>
      <c r="T245" t="str">
        <f t="shared" si="7"/>
        <v>Кроссовки и кеды</v>
      </c>
      <c r="U245">
        <f>'[1]Основной сток'!J242 - 1</f>
        <v>38</v>
      </c>
      <c r="V245" t="s">
        <v>43</v>
      </c>
      <c r="X245" t="s">
        <v>44</v>
      </c>
      <c r="Y245" t="s">
        <v>45</v>
      </c>
    </row>
    <row r="246" spans="1:25" x14ac:dyDescent="0.15">
      <c r="A246" s="6">
        <f>'[1]Основной сток'!A243</f>
        <v>3084888</v>
      </c>
      <c r="B246" t="s">
        <v>33</v>
      </c>
      <c r="D246" t="s">
        <v>34</v>
      </c>
      <c r="E246" t="s">
        <v>35</v>
      </c>
      <c r="F246" s="7" t="str">
        <f>PROPER(LEFT('[1]Основной сток'!I243,FIND(CHAR(10),'[1]Основной сток'!I243&amp;CHAR(10))-1))</f>
        <v>Adidas Wmns Gazelle 'Shadow Brown'</v>
      </c>
      <c r="G246" t="str">
        <f>F246 &amp; ", " &amp; '[1]Основной сток'!H243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сток'!J243 &amp; " / RU " &amp;
INDEX('[1]Размерная сетка'!$B$2:$B$40,MATCH('[1]Основной сток'!J243,'[1]Размерная сетка'!$A$2:$A$40,0)) &amp; " / US " &amp;
INDEX('[1]Размерная сетка'!$C$2:$C$40,MATCH('[1]Основной сток'!J243,'[1]Размерная сетка'!$A$2:$A$40,0)) &amp; " / см " &amp;
INDEX('[1]Размерная сетка'!$D$2:$D$40,MATCH('[1]Основной сток'!J243,'[1]Размерная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Wmns Gazelle 'Shadow Brown', IF3233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46" s="8">
        <f>'[1]Основной сток'!L243</f>
        <v>22000</v>
      </c>
      <c r="I246" s="1" t="str" cm="1">
        <f t="array" ref="I246">VLOOKUP(INDEX('[1]Основной сток'!H:H,ROW()-3),[1]Фотки!A:B,2,FALSE)</f>
        <v>https://i.ibb.co/Dj4Pzh9/1-1.jpg|https://i.ibb.co/ym5GJ20j/2.jpg|https://i.ibb.co/cS4wWy6C/3.jpg|https://i.ibb.co/1tdVvv49/4.jpg</v>
      </c>
      <c r="J246" t="s">
        <v>36</v>
      </c>
      <c r="K246" t="s">
        <v>37</v>
      </c>
      <c r="L246" t="str">
        <f t="shared" si="6"/>
        <v>Женская обувь</v>
      </c>
      <c r="M246" t="s">
        <v>38</v>
      </c>
      <c r="N246" t="s">
        <v>39</v>
      </c>
      <c r="O246" t="str">
        <f>PROPER('[1]Основной сток'!F243)</f>
        <v>Adidas</v>
      </c>
      <c r="P246" t="str">
        <f>'[1]Основной сток'!M243</f>
        <v>Коричневый</v>
      </c>
      <c r="R246" t="s">
        <v>41</v>
      </c>
      <c r="S246" t="s">
        <v>42</v>
      </c>
      <c r="T246" t="str">
        <f t="shared" si="7"/>
        <v>Кроссовки и кеды</v>
      </c>
      <c r="U246">
        <f>'[1]Основной сток'!J243 - 1</f>
        <v>37.5</v>
      </c>
      <c r="V246" t="s">
        <v>43</v>
      </c>
      <c r="X246" t="s">
        <v>44</v>
      </c>
      <c r="Y246" t="s">
        <v>45</v>
      </c>
    </row>
    <row r="247" spans="1:25" x14ac:dyDescent="0.15">
      <c r="A247" s="6">
        <f>'[1]Основной сток'!A244</f>
        <v>3084889</v>
      </c>
      <c r="B247" t="s">
        <v>33</v>
      </c>
      <c r="D247" t="s">
        <v>34</v>
      </c>
      <c r="E247" t="s">
        <v>35</v>
      </c>
      <c r="F247" s="7" t="str">
        <f>PROPER(LEFT('[1]Основной сток'!I244,FIND(CHAR(10),'[1]Основной сток'!I244&amp;CHAR(10))-1))</f>
        <v>Adidas Wmns Gazelle 'Shadow Brown'</v>
      </c>
      <c r="G247" t="str">
        <f>F247 &amp; ", " &amp; '[1]Основной сток'!H244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сток'!J244 &amp; " / RU " &amp;
INDEX('[1]Размерная сетка'!$B$2:$B$40,MATCH('[1]Основной сток'!J244,'[1]Размерная сетка'!$A$2:$A$40,0)) &amp; " / US " &amp;
INDEX('[1]Размерная сетка'!$C$2:$C$40,MATCH('[1]Основной сток'!J244,'[1]Размерная сетка'!$A$2:$A$40,0)) &amp; " / см " &amp;
INDEX('[1]Размерная сетка'!$D$2:$D$40,MATCH('[1]Основной сток'!J244,'[1]Размерная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Wmns Gazelle 'Shadow Brown', IF3233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47" s="8">
        <f>'[1]Основной сток'!L244</f>
        <v>22000</v>
      </c>
      <c r="I247" s="1" t="str" cm="1">
        <f t="array" ref="I247">VLOOKUP(INDEX('[1]Основной сток'!H:H,ROW()-3),[1]Фотки!A:B,2,FALSE)</f>
        <v>https://i.ibb.co/Dj4Pzh9/1-1.jpg|https://i.ibb.co/ym5GJ20j/2.jpg|https://i.ibb.co/cS4wWy6C/3.jpg|https://i.ibb.co/1tdVvv49/4.jpg</v>
      </c>
      <c r="J247" t="s">
        <v>36</v>
      </c>
      <c r="K247" t="s">
        <v>37</v>
      </c>
      <c r="L247" t="str">
        <f t="shared" si="6"/>
        <v>Женская обувь</v>
      </c>
      <c r="M247" t="s">
        <v>38</v>
      </c>
      <c r="N247" t="s">
        <v>39</v>
      </c>
      <c r="O247" t="str">
        <f>PROPER('[1]Основной сток'!F244)</f>
        <v>Adidas</v>
      </c>
      <c r="P247" t="str">
        <f>'[1]Основной сток'!M244</f>
        <v>Коричневый</v>
      </c>
      <c r="R247" t="s">
        <v>41</v>
      </c>
      <c r="S247" t="s">
        <v>42</v>
      </c>
      <c r="T247" t="str">
        <f t="shared" si="7"/>
        <v>Кроссовки и кеды</v>
      </c>
      <c r="U247">
        <f>'[1]Основной сток'!J244 - 1</f>
        <v>38</v>
      </c>
      <c r="V247" t="s">
        <v>43</v>
      </c>
      <c r="X247" t="s">
        <v>44</v>
      </c>
      <c r="Y247" t="s">
        <v>45</v>
      </c>
    </row>
    <row r="248" spans="1:25" x14ac:dyDescent="0.15">
      <c r="A248" s="6">
        <f>'[1]Основной сток'!A245</f>
        <v>3084890</v>
      </c>
      <c r="B248" t="s">
        <v>33</v>
      </c>
      <c r="D248" t="s">
        <v>34</v>
      </c>
      <c r="E248" t="s">
        <v>35</v>
      </c>
      <c r="F248" s="7" t="str">
        <f>PROPER(LEFT('[1]Основной сток'!I245,FIND(CHAR(10),'[1]Основной сток'!I245&amp;CHAR(10))-1))</f>
        <v>Adidas Wmns Gazelle 'Shadow Brown'</v>
      </c>
      <c r="G248" t="str">
        <f>F248 &amp; ", " &amp; '[1]Основной сток'!H245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сток'!J245 &amp; " / RU " &amp;
INDEX('[1]Размерная сетка'!$B$2:$B$40,MATCH('[1]Основной сток'!J245,'[1]Размерная сетка'!$A$2:$A$40,0)) &amp; " / US " &amp;
INDEX('[1]Размерная сетка'!$C$2:$C$40,MATCH('[1]Основной сток'!J245,'[1]Размерная сетка'!$A$2:$A$40,0)) &amp; " / см " &amp;
INDEX('[1]Размерная сетка'!$D$2:$D$40,MATCH('[1]Основной сток'!J245,'[1]Размерная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Wmns Gazelle 'Shadow Brown', IF3233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48" s="8">
        <f>'[1]Основной сток'!L245</f>
        <v>22000</v>
      </c>
      <c r="I248" s="1" t="str" cm="1">
        <f t="array" ref="I248">VLOOKUP(INDEX('[1]Основной сток'!H:H,ROW()-3),[1]Фотки!A:B,2,FALSE)</f>
        <v>https://i.ibb.co/Dj4Pzh9/1-1.jpg|https://i.ibb.co/ym5GJ20j/2.jpg|https://i.ibb.co/cS4wWy6C/3.jpg|https://i.ibb.co/1tdVvv49/4.jpg</v>
      </c>
      <c r="J248" t="s">
        <v>36</v>
      </c>
      <c r="K248" t="s">
        <v>37</v>
      </c>
      <c r="L248" t="str">
        <f t="shared" si="6"/>
        <v>Женская обувь</v>
      </c>
      <c r="M248" t="s">
        <v>38</v>
      </c>
      <c r="N248" t="s">
        <v>39</v>
      </c>
      <c r="O248" t="str">
        <f>PROPER('[1]Основной сток'!F245)</f>
        <v>Adidas</v>
      </c>
      <c r="P248" t="str">
        <f>'[1]Основной сток'!M245</f>
        <v>Коричневый</v>
      </c>
      <c r="R248" t="s">
        <v>41</v>
      </c>
      <c r="S248" t="s">
        <v>42</v>
      </c>
      <c r="T248" t="str">
        <f t="shared" si="7"/>
        <v>Кроссовки и кеды</v>
      </c>
      <c r="U248">
        <f>'[1]Основной сток'!J245 - 1</f>
        <v>39</v>
      </c>
      <c r="V248" t="s">
        <v>43</v>
      </c>
      <c r="X248" t="s">
        <v>44</v>
      </c>
      <c r="Y248" t="s">
        <v>45</v>
      </c>
    </row>
    <row r="249" spans="1:25" x14ac:dyDescent="0.15">
      <c r="A249" s="6">
        <f>'[1]Основной сток'!A246</f>
        <v>3084891</v>
      </c>
      <c r="B249" t="s">
        <v>33</v>
      </c>
      <c r="D249" t="s">
        <v>34</v>
      </c>
      <c r="E249" t="s">
        <v>35</v>
      </c>
      <c r="F249" s="7" t="str">
        <f>PROPER(LEFT('[1]Основной сток'!I246,FIND(CHAR(10),'[1]Основной сток'!I246&amp;CHAR(10))-1))</f>
        <v>Mexico 66 'Chrome Silver'</v>
      </c>
      <c r="G249" t="str">
        <f>F249 &amp; ", " &amp; '[1]Основной сток'!H246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сток'!J246 &amp; " / RU " &amp;
INDEX('[1]Размерная сетка'!$B$2:$B$40,MATCH('[1]Основной сток'!J246,'[1]Размерная сетка'!$A$2:$A$40,0)) &amp; " / US " &amp;
INDEX('[1]Размерная сетка'!$C$2:$C$40,MATCH('[1]Основной сток'!J246,'[1]Размерная сетка'!$A$2:$A$40,0)) &amp; " / см " &amp;
INDEX('[1]Размерная сетка'!$D$2:$D$40,MATCH('[1]Основной сток'!J246,'[1]Размерная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Mexico 66 'Chrome Silver', THL7C2-9399
• В наличии в Москве
• Оригинал, можно проверить при получении
• Совершенно новые, полный комплект
• Размер: EU 37,5 / RU 36,5 / US 6,5-7 / см 23,3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49" s="8">
        <f>'[1]Основной сток'!L246</f>
        <v>25000</v>
      </c>
      <c r="I249" s="1" t="str" cm="1">
        <f t="array" ref="I249">VLOOKUP(INDEX('[1]Основной сток'!H:H,ROW()-3),[1]Фотки!A:B,2,FALSE)</f>
        <v>https://i.ibb.co/vCDtBwZw/1.jpg</v>
      </c>
      <c r="J249" t="s">
        <v>36</v>
      </c>
      <c r="K249" t="s">
        <v>37</v>
      </c>
      <c r="L249" t="str">
        <f t="shared" si="6"/>
        <v>Женская обувь</v>
      </c>
      <c r="M249" t="s">
        <v>38</v>
      </c>
      <c r="N249" t="s">
        <v>39</v>
      </c>
      <c r="O249" t="str">
        <f>PROPER('[1]Основной сток'!F246)</f>
        <v>Asics</v>
      </c>
      <c r="P249" t="str">
        <f>'[1]Основной сток'!M246</f>
        <v>Серый</v>
      </c>
      <c r="R249" t="s">
        <v>41</v>
      </c>
      <c r="S249" t="s">
        <v>42</v>
      </c>
      <c r="T249" t="str">
        <f t="shared" si="7"/>
        <v>Кроссовки и кеды</v>
      </c>
      <c r="U249">
        <f>'[1]Основной сток'!J246 - 1</f>
        <v>36.5</v>
      </c>
      <c r="V249" t="s">
        <v>43</v>
      </c>
      <c r="X249" t="s">
        <v>44</v>
      </c>
      <c r="Y249" t="s">
        <v>45</v>
      </c>
    </row>
    <row r="250" spans="1:25" x14ac:dyDescent="0.15">
      <c r="A250" s="6">
        <f>'[1]Основной сток'!A247</f>
        <v>3084892</v>
      </c>
      <c r="B250" t="s">
        <v>33</v>
      </c>
      <c r="D250" t="s">
        <v>34</v>
      </c>
      <c r="E250" t="s">
        <v>35</v>
      </c>
      <c r="F250" s="7" t="str">
        <f>PROPER(LEFT('[1]Основной сток'!I247,FIND(CHAR(10),'[1]Основной сток'!I247&amp;CHAR(10))-1))</f>
        <v>Mexico 66 'Chrome Silver'</v>
      </c>
      <c r="G250" t="str">
        <f>F250 &amp; ", " &amp; '[1]Основной сток'!H247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сток'!J247 &amp; " / RU " &amp;
INDEX('[1]Размерная сетка'!$B$2:$B$40,MATCH('[1]Основной сток'!J247,'[1]Размерная сетка'!$A$2:$A$40,0)) &amp; " / US " &amp;
INDEX('[1]Размерная сетка'!$C$2:$C$40,MATCH('[1]Основной сток'!J247,'[1]Размерная сетка'!$A$2:$A$40,0)) &amp; " / см " &amp;
INDEX('[1]Размерная сетка'!$D$2:$D$40,MATCH('[1]Основной сток'!J247,'[1]Размерная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Mexico 66 'Chrome Silver', THL7C2-9399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50" s="8">
        <f>'[1]Основной сток'!L247</f>
        <v>25000</v>
      </c>
      <c r="I250" s="1" t="str" cm="1">
        <f t="array" ref="I250">VLOOKUP(INDEX('[1]Основной сток'!H:H,ROW()-3),[1]Фотки!A:B,2,FALSE)</f>
        <v>https://i.ibb.co/vCDtBwZw/1.jpg</v>
      </c>
      <c r="J250" t="s">
        <v>36</v>
      </c>
      <c r="K250" t="s">
        <v>37</v>
      </c>
      <c r="L250" t="str">
        <f t="shared" si="6"/>
        <v>Женская обувь</v>
      </c>
      <c r="M250" t="s">
        <v>38</v>
      </c>
      <c r="N250" t="s">
        <v>39</v>
      </c>
      <c r="O250" t="str">
        <f>PROPER('[1]Основной сток'!F247)</f>
        <v>Asics</v>
      </c>
      <c r="P250" t="str">
        <f>'[1]Основной сток'!M247</f>
        <v>Серый</v>
      </c>
      <c r="R250" t="s">
        <v>41</v>
      </c>
      <c r="S250" t="s">
        <v>42</v>
      </c>
      <c r="T250" t="str">
        <f t="shared" si="7"/>
        <v>Кроссовки и кеды</v>
      </c>
      <c r="U250">
        <f>'[1]Основной сток'!J247 - 1</f>
        <v>37</v>
      </c>
      <c r="V250" t="s">
        <v>43</v>
      </c>
      <c r="X250" t="s">
        <v>44</v>
      </c>
      <c r="Y250" t="s">
        <v>45</v>
      </c>
    </row>
    <row r="251" spans="1:25" x14ac:dyDescent="0.15">
      <c r="A251" s="6">
        <f>'[1]Основной сток'!A248</f>
        <v>3084895</v>
      </c>
      <c r="B251" t="s">
        <v>33</v>
      </c>
      <c r="D251" t="s">
        <v>34</v>
      </c>
      <c r="E251" t="s">
        <v>35</v>
      </c>
      <c r="F251" s="7" t="str">
        <f>PROPER(LEFT('[1]Основной сток'!I248,FIND(CHAR(10),'[1]Основной сток'!I248&amp;CHAR(10))-1))</f>
        <v>Wmns Jordan 1 Low Method Of Make 'Legend Light Brown'</v>
      </c>
      <c r="G251" t="str">
        <f>F251 &amp; ", " &amp; '[1]Основной сток'!H248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сток'!J248 &amp; " / RU " &amp;
INDEX('[1]Размерная сетка'!$B$2:$B$40,MATCH('[1]Основной сток'!J248,'[1]Размерная сетка'!$A$2:$A$40,0)) &amp; " / US " &amp;
INDEX('[1]Размерная сетка'!$C$2:$C$40,MATCH('[1]Основной сток'!J248,'[1]Размерная сетка'!$A$2:$A$40,0)) &amp; " / см " &amp;
INDEX('[1]Размерная сетка'!$D$2:$D$40,MATCH('[1]Основной сток'!J248,'[1]Размерная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Wmns Jordan 1 Low Method Of Make 'Legend Light Brown', FN5032-200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51" s="8">
        <f>'[1]Основной сток'!L248</f>
        <v>22000</v>
      </c>
      <c r="I251" s="1" t="str" cm="1">
        <f t="array" ref="I251">VLOOKUP(INDEX('[1]Основной сток'!H:H,ROW()-3),[1]Фотки!A:B,2,FALSE)</f>
        <v>https://i.ibb.co/0VG0319H/1-1.jpg|https://i.ibb.co/rGhmtdM6/2.jpg|https://i.ibb.co/TB7bqCq2/3.jpg|https://i.ibb.co/0pZCdB6F/4.jpg</v>
      </c>
      <c r="J251" t="s">
        <v>36</v>
      </c>
      <c r="K251" t="s">
        <v>37</v>
      </c>
      <c r="L251" t="str">
        <f t="shared" si="6"/>
        <v>Женская обувь</v>
      </c>
      <c r="M251" t="s">
        <v>38</v>
      </c>
      <c r="N251" t="s">
        <v>39</v>
      </c>
      <c r="O251" t="str">
        <f>PROPER('[1]Основной сток'!F248)</f>
        <v>Jordan</v>
      </c>
      <c r="P251" t="str">
        <f>'[1]Основной сток'!M248</f>
        <v>Белый</v>
      </c>
      <c r="R251" t="s">
        <v>41</v>
      </c>
      <c r="S251" t="s">
        <v>42</v>
      </c>
      <c r="T251" t="str">
        <f t="shared" si="7"/>
        <v>Кроссовки и кеды</v>
      </c>
      <c r="U251">
        <f>'[1]Основной сток'!J248 - 1</f>
        <v>37</v>
      </c>
      <c r="V251" t="s">
        <v>43</v>
      </c>
      <c r="X251" t="s">
        <v>44</v>
      </c>
      <c r="Y251" t="s">
        <v>45</v>
      </c>
    </row>
    <row r="252" spans="1:25" x14ac:dyDescent="0.15">
      <c r="A252" s="6">
        <f>'[1]Основной сток'!A249</f>
        <v>3086909</v>
      </c>
      <c r="B252" t="s">
        <v>33</v>
      </c>
      <c r="D252" t="s">
        <v>34</v>
      </c>
      <c r="E252" t="s">
        <v>35</v>
      </c>
      <c r="F252" s="7" t="str">
        <f>PROPER(LEFT('[1]Основной сток'!I249,FIND(CHAR(10),'[1]Основной сток'!I249&amp;CHAR(10))-1))</f>
        <v>Samba Og 'White Collegiate Green Gum'</v>
      </c>
      <c r="G252" t="str">
        <f>F252 &amp; ", " &amp; '[1]Основной сток'!H249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сток'!J249 &amp; " / RU " &amp;
INDEX('[1]Размерная сетка'!$B$2:$B$40,MATCH('[1]Основной сток'!J249,'[1]Размерная сетка'!$A$2:$A$40,0)) &amp; " / US " &amp;
INDEX('[1]Размерная сетка'!$C$2:$C$40,MATCH('[1]Основной сток'!J249,'[1]Размерная сетка'!$A$2:$A$40,0)) &amp; " / см " &amp;
INDEX('[1]Размерная сетка'!$D$2:$D$40,MATCH('[1]Основной сток'!J249,'[1]Размерная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Samba Og 'White Collegiate Green Gum', IE3437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52" s="8">
        <f>'[1]Основной сток'!L249</f>
        <v>20000</v>
      </c>
      <c r="I252" s="1" t="str" cm="1">
        <f t="array" ref="I252">VLOOKUP(INDEX('[1]Основной сток'!H:H,ROW()-3),[1]Фотки!A:B,2,FALSE)</f>
        <v>https://i.ibb.co/qLCZH5m3/1-1.jpg|https://i.ibb.co/35xbXP5M/2.jpg|https://i.ibb.co/4ZZzDHZv/3.jpg|https://i.ibb.co/qbhTNYp/4.jpg</v>
      </c>
      <c r="J252" t="s">
        <v>36</v>
      </c>
      <c r="K252" t="s">
        <v>37</v>
      </c>
      <c r="L252" t="str">
        <f t="shared" si="6"/>
        <v>Женская обувь</v>
      </c>
      <c r="M252" t="s">
        <v>38</v>
      </c>
      <c r="N252" t="s">
        <v>39</v>
      </c>
      <c r="O252" t="str">
        <f>PROPER('[1]Основной сток'!F249)</f>
        <v>Adidas</v>
      </c>
      <c r="P252" t="str">
        <f>'[1]Основной сток'!M249</f>
        <v>Зелёный</v>
      </c>
      <c r="R252" t="s">
        <v>41</v>
      </c>
      <c r="S252" t="s">
        <v>42</v>
      </c>
      <c r="T252" t="str">
        <f t="shared" si="7"/>
        <v>Кроссовки и кеды</v>
      </c>
      <c r="U252">
        <f>'[1]Основной сток'!J249 - 1</f>
        <v>37</v>
      </c>
      <c r="V252" t="s">
        <v>43</v>
      </c>
      <c r="X252" t="s">
        <v>44</v>
      </c>
      <c r="Y252" t="s">
        <v>45</v>
      </c>
    </row>
    <row r="253" spans="1:25" x14ac:dyDescent="0.15">
      <c r="A253" s="6">
        <f>'[1]Основной сток'!A250</f>
        <v>3090870</v>
      </c>
      <c r="B253" t="s">
        <v>33</v>
      </c>
      <c r="D253" t="s">
        <v>34</v>
      </c>
      <c r="E253" t="s">
        <v>35</v>
      </c>
      <c r="F253" s="7" t="str">
        <f>PROPER(LEFT('[1]Основной сток'!I250,FIND(CHAR(10),'[1]Основной сток'!I250&amp;CHAR(10))-1))</f>
        <v>Adidas Wmns Handball Spezial 'Bright Red Clear Pink'</v>
      </c>
      <c r="G253" t="str">
        <f>F253 &amp; ", " &amp; '[1]Основной сток'!H250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сток'!J250 &amp; " / RU " &amp;
INDEX('[1]Размерная сетка'!$B$2:$B$40,MATCH('[1]Основной сток'!J250,'[1]Размерная сетка'!$A$2:$A$40,0)) &amp; " / US " &amp;
INDEX('[1]Размерная сетка'!$C$2:$C$40,MATCH('[1]Основной сток'!J250,'[1]Размерная сетка'!$A$2:$A$40,0)) &amp; " / см " &amp;
INDEX('[1]Размерная сетка'!$D$2:$D$40,MATCH('[1]Основной сток'!J250,'[1]Размерная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Wmns Handball Spezial 'Bright Red Clear Pink', IE5894
• В наличии в Москве
• Оригинал, можно проверить при получении
• Совершенно новые, полный комплект
• Размер: EU 37 / RU 36 / US 6,5 / см 23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53" s="8">
        <f>'[1]Основной сток'!L250</f>
        <v>18900</v>
      </c>
      <c r="I253" s="1" t="str" cm="1">
        <f t="array" ref="I253">VLOOKUP(INDEX('[1]Основной сток'!H:H,ROW()-3),[1]Фотки!A:B,2,FALSE)</f>
        <v>https://i.ibb.co/qMTC9fGW/1.jpg|https://i.ibb.co/v4TwSLVZ/2-1.jpg|https://i.ibb.co/rGgTyvx1/3.jpg|https://i.ibb.co/8DWn0cjJ/4.jpg</v>
      </c>
      <c r="J253" t="s">
        <v>36</v>
      </c>
      <c r="K253" t="s">
        <v>37</v>
      </c>
      <c r="L253" t="str">
        <f t="shared" si="6"/>
        <v>Женская обувь</v>
      </c>
      <c r="M253" t="s">
        <v>38</v>
      </c>
      <c r="N253" t="s">
        <v>39</v>
      </c>
      <c r="O253" t="str">
        <f>PROPER('[1]Основной сток'!F250)</f>
        <v>Adidas</v>
      </c>
      <c r="P253" t="str">
        <f>'[1]Основной сток'!M250</f>
        <v>Красный</v>
      </c>
      <c r="R253" t="s">
        <v>41</v>
      </c>
      <c r="S253" t="s">
        <v>42</v>
      </c>
      <c r="T253" t="str">
        <f t="shared" si="7"/>
        <v>Кроссовки и кеды</v>
      </c>
      <c r="U253">
        <f>'[1]Основной сток'!J250 - 1</f>
        <v>36</v>
      </c>
      <c r="V253" t="s">
        <v>43</v>
      </c>
      <c r="X253" t="s">
        <v>44</v>
      </c>
      <c r="Y253" t="s">
        <v>45</v>
      </c>
    </row>
    <row r="254" spans="1:25" x14ac:dyDescent="0.15">
      <c r="A254" s="6">
        <f>'[1]Основной сток'!A251</f>
        <v>3107483</v>
      </c>
      <c r="B254" t="s">
        <v>33</v>
      </c>
      <c r="D254" t="s">
        <v>34</v>
      </c>
      <c r="E254" t="s">
        <v>35</v>
      </c>
      <c r="F254" s="7" t="str">
        <f>PROPER(LEFT('[1]Основной сток'!I251,FIND(CHAR(10),'[1]Основной сток'!I251&amp;CHAR(10))-1))</f>
        <v>Caroline Hu X Clot X Samba 'Reverie - Black Lace Shell'</v>
      </c>
      <c r="G254" t="str">
        <f>F254 &amp; ", " &amp; '[1]Основной сток'!H251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сток'!J251 &amp; " / RU " &amp;
INDEX('[1]Размерная сетка'!$B$2:$B$40,MATCH('[1]Основной сток'!J251,'[1]Размерная сетка'!$A$2:$A$40,0)) &amp; " / US " &amp;
INDEX('[1]Размерная сетка'!$C$2:$C$40,MATCH('[1]Основной сток'!J251,'[1]Размерная сетка'!$A$2:$A$40,0)) &amp; " / см " &amp;
INDEX('[1]Размерная сетка'!$D$2:$D$40,MATCH('[1]Основной сток'!J251,'[1]Размерная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Caroline Hu X Clot X Samba 'Reverie - Black Lace Shell', JS2778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54" s="8">
        <f>'[1]Основной сток'!L251</f>
        <v>40000</v>
      </c>
      <c r="I254" s="1" t="str" cm="1">
        <f t="array" ref="I254">VLOOKUP(INDEX('[1]Основной сток'!H:H,ROW()-3),[1]Фотки!A:B,2,FALSE)</f>
        <v>https://i.ibb.co/tMtjtV34/1-1.jpg</v>
      </c>
      <c r="J254" t="s">
        <v>36</v>
      </c>
      <c r="K254" t="s">
        <v>37</v>
      </c>
      <c r="L254" t="str">
        <f t="shared" si="6"/>
        <v>Женская обувь</v>
      </c>
      <c r="M254" t="s">
        <v>38</v>
      </c>
      <c r="N254" t="s">
        <v>39</v>
      </c>
      <c r="O254" t="str">
        <f>PROPER('[1]Основной сток'!F251)</f>
        <v>Adidas</v>
      </c>
      <c r="P254" t="str">
        <f>'[1]Основной сток'!M251</f>
        <v>Черный</v>
      </c>
      <c r="R254" t="s">
        <v>41</v>
      </c>
      <c r="S254" t="s">
        <v>42</v>
      </c>
      <c r="T254" t="str">
        <f t="shared" si="7"/>
        <v>Кроссовки и кеды</v>
      </c>
      <c r="U254">
        <f>'[1]Основной сток'!J251 - 1</f>
        <v>37</v>
      </c>
      <c r="V254" t="s">
        <v>43</v>
      </c>
      <c r="X254" t="s">
        <v>44</v>
      </c>
      <c r="Y254" t="s">
        <v>45</v>
      </c>
    </row>
    <row r="255" spans="1:25" x14ac:dyDescent="0.15">
      <c r="A255" s="6">
        <f>'[1]Основной сток'!A252</f>
        <v>3107486</v>
      </c>
      <c r="B255" t="s">
        <v>33</v>
      </c>
      <c r="D255" t="s">
        <v>34</v>
      </c>
      <c r="E255" t="s">
        <v>35</v>
      </c>
      <c r="F255" s="7" t="str">
        <f>PROPER(LEFT('[1]Основной сток'!I252,FIND(CHAR(10),'[1]Основной сток'!I252&amp;CHAR(10))-1))</f>
        <v>Adidas Gazelle «Bliss Pink Purple»</v>
      </c>
      <c r="G255" t="str">
        <f>F255 &amp; ", " &amp; '[1]Основной сток'!H252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сток'!J252 &amp; " / RU " &amp;
INDEX('[1]Размерная сетка'!$B$2:$B$40,MATCH('[1]Основной сток'!J252,'[1]Размерная сетка'!$A$2:$A$40,0)) &amp; " / US " &amp;
INDEX('[1]Размерная сетка'!$C$2:$C$40,MATCH('[1]Основной сток'!J252,'[1]Размерная сетка'!$A$2:$A$40,0)) &amp; " / см " &amp;
INDEX('[1]Размерная сетка'!$D$2:$D$40,MATCH('[1]Основной сток'!J252,'[1]Размерная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«Bliss Pink Purple», IE7002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55" s="8">
        <f>'[1]Основной сток'!L252</f>
        <v>24000</v>
      </c>
      <c r="I255" s="1" t="str" cm="1">
        <f t="array" ref="I255">VLOOKUP(INDEX('[1]Основной сток'!H:H,ROW()-3),[1]Фотки!A:B,2,FALSE)</f>
        <v>https://i.ibb.co/XrmBVZfg/1.jpg|https://i.ibb.co/F4tFSCsM/2.jpg|https://i.ibb.co/7x2rn3TV/3.jpg|https://i.ibb.co/8D5KXGZt/4.jpg</v>
      </c>
      <c r="J255" t="s">
        <v>36</v>
      </c>
      <c r="K255" t="s">
        <v>37</v>
      </c>
      <c r="L255" t="str">
        <f t="shared" si="6"/>
        <v>Женская обувь</v>
      </c>
      <c r="M255" t="s">
        <v>38</v>
      </c>
      <c r="N255" t="s">
        <v>39</v>
      </c>
      <c r="O255" t="str">
        <f>PROPER('[1]Основной сток'!F252)</f>
        <v>Adidas</v>
      </c>
      <c r="P255" t="str">
        <f>'[1]Основной сток'!M252</f>
        <v>Розовый</v>
      </c>
      <c r="R255" t="s">
        <v>41</v>
      </c>
      <c r="S255" t="s">
        <v>42</v>
      </c>
      <c r="T255" t="str">
        <f t="shared" si="7"/>
        <v>Кроссовки и кеды</v>
      </c>
      <c r="U255">
        <f>'[1]Основной сток'!J252 - 1</f>
        <v>37.5</v>
      </c>
      <c r="V255" t="s">
        <v>43</v>
      </c>
      <c r="X255" t="s">
        <v>44</v>
      </c>
      <c r="Y255" t="s">
        <v>45</v>
      </c>
    </row>
    <row r="256" spans="1:25" x14ac:dyDescent="0.15">
      <c r="A256" s="6">
        <f>'[1]Основной сток'!A253</f>
        <v>3107487</v>
      </c>
      <c r="B256" t="s">
        <v>33</v>
      </c>
      <c r="D256" t="s">
        <v>34</v>
      </c>
      <c r="E256" t="s">
        <v>35</v>
      </c>
      <c r="F256" s="7" t="str">
        <f>PROPER(LEFT('[1]Основной сток'!I253,FIND(CHAR(10),'[1]Основной сток'!I253&amp;CHAR(10))-1))</f>
        <v>Adidas Gazelle «Bliss Pink Purple»</v>
      </c>
      <c r="G256" t="str">
        <f>F256 &amp; ", " &amp; '[1]Основной сток'!H253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сток'!J253 &amp; " / RU " &amp;
INDEX('[1]Размерная сетка'!$B$2:$B$40,MATCH('[1]Основной сток'!J253,'[1]Размерная сетка'!$A$2:$A$40,0)) &amp; " / US " &amp;
INDEX('[1]Размерная сетка'!$C$2:$C$40,MATCH('[1]Основной сток'!J253,'[1]Размерная сетка'!$A$2:$A$40,0)) &amp; " / см " &amp;
INDEX('[1]Размерная сетка'!$D$2:$D$40,MATCH('[1]Основной сток'!J253,'[1]Размерная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«Bliss Pink Purple», IE7002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56" s="8">
        <f>'[1]Основной сток'!L253</f>
        <v>24000</v>
      </c>
      <c r="I256" s="1" t="str" cm="1">
        <f t="array" ref="I256">VLOOKUP(INDEX('[1]Основной сток'!H:H,ROW()-3),[1]Фотки!A:B,2,FALSE)</f>
        <v>https://i.ibb.co/XrmBVZfg/1.jpg|https://i.ibb.co/F4tFSCsM/2.jpg|https://i.ibb.co/7x2rn3TV/3.jpg|https://i.ibb.co/8D5KXGZt/4.jpg</v>
      </c>
      <c r="J256" t="s">
        <v>36</v>
      </c>
      <c r="K256" t="s">
        <v>37</v>
      </c>
      <c r="L256" t="str">
        <f t="shared" si="6"/>
        <v>Женская обувь</v>
      </c>
      <c r="M256" t="s">
        <v>38</v>
      </c>
      <c r="N256" t="s">
        <v>39</v>
      </c>
      <c r="O256" t="str">
        <f>PROPER('[1]Основной сток'!F253)</f>
        <v>Adidas</v>
      </c>
      <c r="P256" t="str">
        <f>'[1]Основной сток'!M253</f>
        <v>Розовый</v>
      </c>
      <c r="R256" t="s">
        <v>41</v>
      </c>
      <c r="S256" t="s">
        <v>42</v>
      </c>
      <c r="T256" t="str">
        <f t="shared" si="7"/>
        <v>Кроссовки и кеды</v>
      </c>
      <c r="U256">
        <f>'[1]Основной сток'!J253 - 1</f>
        <v>38</v>
      </c>
      <c r="V256" t="s">
        <v>43</v>
      </c>
      <c r="X256" t="s">
        <v>44</v>
      </c>
      <c r="Y256" t="s">
        <v>45</v>
      </c>
    </row>
    <row r="257" spans="1:25" x14ac:dyDescent="0.15">
      <c r="A257" s="6">
        <f>'[1]Основной сток'!A254</f>
        <v>3112193</v>
      </c>
      <c r="B257" t="s">
        <v>33</v>
      </c>
      <c r="D257" t="s">
        <v>34</v>
      </c>
      <c r="E257" t="s">
        <v>35</v>
      </c>
      <c r="F257" s="7" t="str">
        <f>PROPER(LEFT('[1]Основной сток'!I254,FIND(CHAR(10),'[1]Основной сток'!I254&amp;CHAR(10))-1))</f>
        <v>Wales Bonner X Samba Nylon 'Wonder Clay Royal Blue'</v>
      </c>
      <c r="G257" t="str">
        <f>F257 &amp; ", " &amp; '[1]Основной сток'!H254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сток'!J254 &amp; " / RU " &amp;
INDEX('[1]Размерная сетка'!$B$2:$B$40,MATCH('[1]Основной сток'!J254,'[1]Размерная сетка'!$A$2:$A$40,0)) &amp; " / US " &amp;
INDEX('[1]Размерная сетка'!$C$2:$C$40,MATCH('[1]Основной сток'!J254,'[1]Размерная сетка'!$A$2:$A$40,0)) &amp; " / см " &amp;
INDEX('[1]Размерная сетка'!$D$2:$D$40,MATCH('[1]Основной сток'!J254,'[1]Размерная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Wales Bonner X Samba Nylon 'Wonder Clay Royal Blue', IH7756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57" s="8">
        <f>'[1]Основной сток'!L254</f>
        <v>36000</v>
      </c>
      <c r="I257" s="1" t="str" cm="1">
        <f t="array" ref="I257">VLOOKUP(INDEX('[1]Основной сток'!H:H,ROW()-3),[1]Фотки!A:B,2,FALSE)</f>
        <v>https://i.ibb.co/PGPyLHMy/1.jpg|https://i.ibb.co/Psf54951/2.jpg|https://i.ibb.co/k60MLB6r/3.jpg|https://i.ibb.co/Kpgn7WjF/4.jpg</v>
      </c>
      <c r="J257" t="s">
        <v>36</v>
      </c>
      <c r="K257" t="s">
        <v>37</v>
      </c>
      <c r="L257" t="str">
        <f t="shared" si="6"/>
        <v>Женская обувь</v>
      </c>
      <c r="M257" t="s">
        <v>38</v>
      </c>
      <c r="N257" t="s">
        <v>39</v>
      </c>
      <c r="O257" t="str">
        <f>PROPER('[1]Основной сток'!F254)</f>
        <v>Adidas</v>
      </c>
      <c r="P257" t="str">
        <f>'[1]Основной сток'!M254</f>
        <v>Синий</v>
      </c>
      <c r="R257" t="s">
        <v>41</v>
      </c>
      <c r="S257" t="s">
        <v>42</v>
      </c>
      <c r="T257" t="str">
        <f t="shared" si="7"/>
        <v>Кроссовки и кеды</v>
      </c>
      <c r="U257">
        <f>'[1]Основной сток'!J254 - 1</f>
        <v>37</v>
      </c>
      <c r="V257" t="s">
        <v>43</v>
      </c>
      <c r="X257" t="s">
        <v>44</v>
      </c>
      <c r="Y257" t="s">
        <v>45</v>
      </c>
    </row>
    <row r="258" spans="1:25" x14ac:dyDescent="0.15">
      <c r="A258" s="6">
        <f>'[1]Основной сток'!A255</f>
        <v>3112194</v>
      </c>
      <c r="B258" t="s">
        <v>33</v>
      </c>
      <c r="D258" t="s">
        <v>34</v>
      </c>
      <c r="E258" t="s">
        <v>35</v>
      </c>
      <c r="F258" s="7" t="str">
        <f>PROPER(LEFT('[1]Основной сток'!I255,FIND(CHAR(10),'[1]Основной сток'!I255&amp;CHAR(10))-1))</f>
        <v>Wales Bonner X Samba Nylon 'Wonder Clay Royal Blue'</v>
      </c>
      <c r="G258" t="str">
        <f>F258 &amp; ", " &amp; '[1]Основной сток'!H255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сток'!J255 &amp; " / RU " &amp;
INDEX('[1]Размерная сетка'!$B$2:$B$40,MATCH('[1]Основной сток'!J255,'[1]Размерная сетка'!$A$2:$A$40,0)) &amp; " / US " &amp;
INDEX('[1]Размерная сетка'!$C$2:$C$40,MATCH('[1]Основной сток'!J255,'[1]Размерная сетка'!$A$2:$A$40,0)) &amp; " / см " &amp;
INDEX('[1]Размерная сетка'!$D$2:$D$40,MATCH('[1]Основной сток'!J255,'[1]Размерная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Wales Bonner X Samba Nylon 'Wonder Clay Royal Blue', IH7756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58" s="8">
        <f>'[1]Основной сток'!L255</f>
        <v>36000</v>
      </c>
      <c r="I258" s="1" t="str" cm="1">
        <f t="array" ref="I258">VLOOKUP(INDEX('[1]Основной сток'!H:H,ROW()-3),[1]Фотки!A:B,2,FALSE)</f>
        <v>https://i.ibb.co/PGPyLHMy/1.jpg|https://i.ibb.co/Psf54951/2.jpg|https://i.ibb.co/k60MLB6r/3.jpg|https://i.ibb.co/Kpgn7WjF/4.jpg</v>
      </c>
      <c r="J258" t="s">
        <v>36</v>
      </c>
      <c r="K258" t="s">
        <v>37</v>
      </c>
      <c r="L258" t="str">
        <f t="shared" si="6"/>
        <v>Женская обувь</v>
      </c>
      <c r="M258" t="s">
        <v>38</v>
      </c>
      <c r="N258" t="s">
        <v>39</v>
      </c>
      <c r="O258" t="str">
        <f>PROPER('[1]Основной сток'!F255)</f>
        <v>Adidas</v>
      </c>
      <c r="P258" t="str">
        <f>'[1]Основной сток'!M255</f>
        <v>Синий</v>
      </c>
      <c r="R258" t="s">
        <v>41</v>
      </c>
      <c r="S258" t="s">
        <v>42</v>
      </c>
      <c r="T258" t="str">
        <f t="shared" si="7"/>
        <v>Кроссовки и кеды</v>
      </c>
      <c r="U258">
        <f>'[1]Основной сток'!J255 - 1</f>
        <v>37.5</v>
      </c>
      <c r="V258" t="s">
        <v>43</v>
      </c>
      <c r="X258" t="s">
        <v>44</v>
      </c>
      <c r="Y258" t="s">
        <v>45</v>
      </c>
    </row>
    <row r="259" spans="1:25" x14ac:dyDescent="0.15">
      <c r="A259" s="6">
        <f>'[1]Основной сток'!A256</f>
        <v>3112196</v>
      </c>
      <c r="B259" t="s">
        <v>33</v>
      </c>
      <c r="D259" t="s">
        <v>34</v>
      </c>
      <c r="E259" t="s">
        <v>35</v>
      </c>
      <c r="F259" s="7" t="str">
        <f>PROPER(LEFT('[1]Основной сток'!I256,FIND(CHAR(10),'[1]Основной сток'!I256&amp;CHAR(10))-1))</f>
        <v>Wales Bonner X Samba Nylon 'Wonder Clay Royal Blue'</v>
      </c>
      <c r="G259" t="str">
        <f>F259 &amp; ", " &amp; '[1]Основной сток'!H256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сток'!J256 &amp; " / RU " &amp;
INDEX('[1]Размерная сетка'!$B$2:$B$40,MATCH('[1]Основной сток'!J256,'[1]Размерная сетка'!$A$2:$A$40,0)) &amp; " / US " &amp;
INDEX('[1]Размерная сетка'!$C$2:$C$40,MATCH('[1]Основной сток'!J256,'[1]Размерная сетка'!$A$2:$A$40,0)) &amp; " / см " &amp;
INDEX('[1]Размерная сетка'!$D$2:$D$40,MATCH('[1]Основной сток'!J256,'[1]Размерная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Wales Bonner X Samba Nylon 'Wonder Clay Royal Blue', IH7756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59" s="8">
        <f>'[1]Основной сток'!L256</f>
        <v>36000</v>
      </c>
      <c r="I259" s="1" t="str" cm="1">
        <f t="array" ref="I259">VLOOKUP(INDEX('[1]Основной сток'!H:H,ROW()-3),[1]Фотки!A:B,2,FALSE)</f>
        <v>https://i.ibb.co/PGPyLHMy/1.jpg|https://i.ibb.co/Psf54951/2.jpg|https://i.ibb.co/k60MLB6r/3.jpg|https://i.ibb.co/Kpgn7WjF/4.jpg</v>
      </c>
      <c r="J259" t="s">
        <v>36</v>
      </c>
      <c r="K259" t="s">
        <v>37</v>
      </c>
      <c r="L259" t="str">
        <f t="shared" si="6"/>
        <v>Женская обувь</v>
      </c>
      <c r="M259" t="s">
        <v>38</v>
      </c>
      <c r="N259" t="s">
        <v>39</v>
      </c>
      <c r="O259" t="str">
        <f>PROPER('[1]Основной сток'!F256)</f>
        <v>Adidas</v>
      </c>
      <c r="P259" t="str">
        <f>'[1]Основной сток'!M256</f>
        <v>Синий</v>
      </c>
      <c r="R259" t="s">
        <v>41</v>
      </c>
      <c r="S259" t="s">
        <v>42</v>
      </c>
      <c r="T259" t="str">
        <f t="shared" si="7"/>
        <v>Кроссовки и кеды</v>
      </c>
      <c r="U259">
        <f>'[1]Основной сток'!J256 - 1</f>
        <v>39</v>
      </c>
      <c r="V259" t="s">
        <v>43</v>
      </c>
      <c r="X259" t="s">
        <v>44</v>
      </c>
      <c r="Y259" t="s">
        <v>45</v>
      </c>
    </row>
    <row r="260" spans="1:25" x14ac:dyDescent="0.15">
      <c r="A260" s="6">
        <f>'[1]Основной сток'!A257</f>
        <v>3112197</v>
      </c>
      <c r="B260" t="s">
        <v>33</v>
      </c>
      <c r="D260" t="s">
        <v>34</v>
      </c>
      <c r="E260" t="s">
        <v>35</v>
      </c>
      <c r="F260" s="7" t="str">
        <f>PROPER(LEFT('[1]Основной сток'!I257,FIND(CHAR(10),'[1]Основной сток'!I257&amp;CHAR(10))-1))</f>
        <v>Wales Bonner X Samba Nylon 'Desert White'</v>
      </c>
      <c r="G260" t="str">
        <f>F260 &amp; ", " &amp; '[1]Основной сток'!H257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сток'!J257 &amp; " / RU " &amp;
INDEX('[1]Размерная сетка'!$B$2:$B$40,MATCH('[1]Основной сток'!J257,'[1]Размерная сетка'!$A$2:$A$40,0)) &amp; " / US " &amp;
INDEX('[1]Размерная сетка'!$C$2:$C$40,MATCH('[1]Основной сток'!J257,'[1]Размерная сетка'!$A$2:$A$40,0)) &amp; " / см " &amp;
INDEX('[1]Размерная сетка'!$D$2:$D$40,MATCH('[1]Основной сток'!J257,'[1]Размерная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Wales Bonner X Samba Nylon 'Desert White', IH3261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60" s="8">
        <f>'[1]Основной сток'!L257</f>
        <v>36000</v>
      </c>
      <c r="I260" s="1" t="str" cm="1">
        <f t="array" ref="I260">VLOOKUP(INDEX('[1]Основной сток'!H:H,ROW()-3),[1]Фотки!A:B,2,FALSE)</f>
        <v>https://i.ibb.co/1fd3hB87/1-1.jpg</v>
      </c>
      <c r="J260" t="s">
        <v>36</v>
      </c>
      <c r="K260" t="s">
        <v>37</v>
      </c>
      <c r="L260" t="str">
        <f t="shared" si="6"/>
        <v>Женская обувь</v>
      </c>
      <c r="M260" t="s">
        <v>38</v>
      </c>
      <c r="N260" t="s">
        <v>39</v>
      </c>
      <c r="O260" t="str">
        <f>PROPER('[1]Основной сток'!F257)</f>
        <v>Adidas</v>
      </c>
      <c r="P260" t="str">
        <f>'[1]Основной сток'!M257</f>
        <v>Коричневый</v>
      </c>
      <c r="R260" t="s">
        <v>41</v>
      </c>
      <c r="S260" t="s">
        <v>42</v>
      </c>
      <c r="T260" t="str">
        <f t="shared" si="7"/>
        <v>Кроссовки и кеды</v>
      </c>
      <c r="U260">
        <f>'[1]Основной сток'!J257 - 1</f>
        <v>37</v>
      </c>
      <c r="V260" t="s">
        <v>43</v>
      </c>
      <c r="X260" t="s">
        <v>44</v>
      </c>
      <c r="Y260" t="s">
        <v>45</v>
      </c>
    </row>
    <row r="261" spans="1:25" x14ac:dyDescent="0.15">
      <c r="A261" s="6">
        <f>'[1]Основной сток'!A258</f>
        <v>3112200</v>
      </c>
      <c r="B261" t="s">
        <v>33</v>
      </c>
      <c r="D261" t="s">
        <v>34</v>
      </c>
      <c r="E261" t="s">
        <v>35</v>
      </c>
      <c r="F261" s="7" t="str">
        <f>PROPER(LEFT('[1]Основной сток'!I258,FIND(CHAR(10),'[1]Основной сток'!I258&amp;CHAR(10))-1))</f>
        <v>Wales Bonner X Samba Nylon 'Desert White'</v>
      </c>
      <c r="G261" t="str">
        <f>F261 &amp; ", " &amp; '[1]Основной сток'!H258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сток'!J258 &amp; " / RU " &amp;
INDEX('[1]Размерная сетка'!$B$2:$B$40,MATCH('[1]Основной сток'!J258,'[1]Размерная сетка'!$A$2:$A$40,0)) &amp; " / US " &amp;
INDEX('[1]Размерная сетка'!$C$2:$C$40,MATCH('[1]Основной сток'!J258,'[1]Размерная сетка'!$A$2:$A$40,0)) &amp; " / см " &amp;
INDEX('[1]Размерная сетка'!$D$2:$D$40,MATCH('[1]Основной сток'!J258,'[1]Размерная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Wales Bonner X Samba Nylon 'Desert White', IH3261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61" s="8">
        <f>'[1]Основной сток'!L258</f>
        <v>36000</v>
      </c>
      <c r="I261" s="1" t="str" cm="1">
        <f t="array" ref="I261">VLOOKUP(INDEX('[1]Основной сток'!H:H,ROW()-3),[1]Фотки!A:B,2,FALSE)</f>
        <v>https://i.ibb.co/1fd3hB87/1-1.jpg</v>
      </c>
      <c r="J261" t="s">
        <v>36</v>
      </c>
      <c r="K261" t="s">
        <v>37</v>
      </c>
      <c r="L261" t="str">
        <f t="shared" si="6"/>
        <v>Женская обувь</v>
      </c>
      <c r="M261" t="s">
        <v>38</v>
      </c>
      <c r="N261" t="s">
        <v>39</v>
      </c>
      <c r="O261" t="str">
        <f>PROPER('[1]Основной сток'!F258)</f>
        <v>Adidas</v>
      </c>
      <c r="P261" t="str">
        <f>'[1]Основной сток'!M258</f>
        <v>Коричневый</v>
      </c>
      <c r="R261" t="s">
        <v>41</v>
      </c>
      <c r="S261" t="s">
        <v>42</v>
      </c>
      <c r="T261" t="str">
        <f t="shared" si="7"/>
        <v>Кроссовки и кеды</v>
      </c>
      <c r="U261">
        <f>'[1]Основной сток'!J258 - 1</f>
        <v>38</v>
      </c>
      <c r="V261" t="s">
        <v>43</v>
      </c>
      <c r="X261" t="s">
        <v>44</v>
      </c>
      <c r="Y261" t="s">
        <v>45</v>
      </c>
    </row>
    <row r="262" spans="1:25" x14ac:dyDescent="0.15">
      <c r="A262" s="6">
        <f>'[1]Основной сток'!A259</f>
        <v>3112201</v>
      </c>
      <c r="B262" t="s">
        <v>33</v>
      </c>
      <c r="D262" t="s">
        <v>34</v>
      </c>
      <c r="E262" t="s">
        <v>35</v>
      </c>
      <c r="F262" s="7" t="str">
        <f>PROPER(LEFT('[1]Основной сток'!I259,FIND(CHAR(10),'[1]Основной сток'!I259&amp;CHAR(10))-1))</f>
        <v>Wales Bonner X Samba Nylon 'Desert White'</v>
      </c>
      <c r="G262" t="str">
        <f>F262 &amp; ", " &amp; '[1]Основной сток'!H259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сток'!J259 &amp; " / RU " &amp;
INDEX('[1]Размерная сетка'!$B$2:$B$40,MATCH('[1]Основной сток'!J259,'[1]Размерная сетка'!$A$2:$A$40,0)) &amp; " / US " &amp;
INDEX('[1]Размерная сетка'!$C$2:$C$40,MATCH('[1]Основной сток'!J259,'[1]Размерная сетка'!$A$2:$A$40,0)) &amp; " / см " &amp;
INDEX('[1]Размерная сетка'!$D$2:$D$40,MATCH('[1]Основной сток'!J259,'[1]Размерная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Wales Bonner X Samba Nylon 'Desert White', IH3261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62" s="8">
        <f>'[1]Основной сток'!L259</f>
        <v>36000</v>
      </c>
      <c r="I262" s="1" t="str" cm="1">
        <f t="array" ref="I262">VLOOKUP(INDEX('[1]Основной сток'!H:H,ROW()-3),[1]Фотки!A:B,2,FALSE)</f>
        <v>https://i.ibb.co/1fd3hB87/1-1.jpg</v>
      </c>
      <c r="J262" t="s">
        <v>36</v>
      </c>
      <c r="K262" t="s">
        <v>37</v>
      </c>
      <c r="L262" t="str">
        <f t="shared" ref="L262:L325" si="8">IF(U262&lt;=40,"Женская обувь","Мужская обувь")</f>
        <v>Женская обувь</v>
      </c>
      <c r="M262" t="s">
        <v>38</v>
      </c>
      <c r="N262" t="s">
        <v>39</v>
      </c>
      <c r="O262" t="str">
        <f>PROPER('[1]Основной сток'!F259)</f>
        <v>Adidas</v>
      </c>
      <c r="P262" t="str">
        <f>'[1]Основной сток'!M259</f>
        <v>Коричневый</v>
      </c>
      <c r="R262" t="s">
        <v>41</v>
      </c>
      <c r="S262" t="s">
        <v>42</v>
      </c>
      <c r="T262" t="str">
        <f t="shared" si="7"/>
        <v>Кроссовки и кеды</v>
      </c>
      <c r="U262">
        <f>'[1]Основной сток'!J259 - 1</f>
        <v>39</v>
      </c>
      <c r="V262" t="s">
        <v>43</v>
      </c>
      <c r="X262" t="s">
        <v>44</v>
      </c>
      <c r="Y262" t="s">
        <v>45</v>
      </c>
    </row>
    <row r="263" spans="1:25" x14ac:dyDescent="0.15">
      <c r="A263" s="6">
        <f>'[1]Основной сток'!A260</f>
        <v>3113302</v>
      </c>
      <c r="B263" t="s">
        <v>33</v>
      </c>
      <c r="D263" t="s">
        <v>34</v>
      </c>
      <c r="E263" t="s">
        <v>35</v>
      </c>
      <c r="F263" s="7" t="str">
        <f>PROPER(LEFT('[1]Основной сток'!I260,FIND(CHAR(10),'[1]Основной сток'!I260&amp;CHAR(10))-1))</f>
        <v>Caroline Hu X Clot X Samba 'Reverie - Pink'</v>
      </c>
      <c r="G263" t="str">
        <f>F263 &amp; ", " &amp; '[1]Основной сток'!H260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сток'!J260 &amp; " / RU " &amp;
INDEX('[1]Размерная сетка'!$B$2:$B$40,MATCH('[1]Основной сток'!J260,'[1]Размерная сетка'!$A$2:$A$40,0)) &amp; " / US " &amp;
INDEX('[1]Размерная сетка'!$C$2:$C$40,MATCH('[1]Основной сток'!J260,'[1]Размерная сетка'!$A$2:$A$40,0)) &amp; " / см " &amp;
INDEX('[1]Размерная сетка'!$D$2:$D$40,MATCH('[1]Основной сток'!J260,'[1]Размерная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Caroline Hu X Clot X Samba 'Reverie - Pink', JQ4747
• В наличии в Москве
• Оригинал, можно проверить при получении
• Совершенно новые, полный комплект
• Размер: EU 36,5 / RU 35,5 / US 6 / см 22,7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63" s="8">
        <f>'[1]Основной сток'!L260</f>
        <v>40000</v>
      </c>
      <c r="I263" s="1" t="str" cm="1">
        <f t="array" ref="I263">VLOOKUP(INDEX('[1]Основной сток'!H:H,ROW()-3),[1]Фотки!A:B,2,FALSE)</f>
        <v>https://i.ibb.co/23gLtCvP/1.jpg|https://i.ibb.co/XZZJPKFn/2.jpg|https://i.ibb.co/m5cRfL7p/3.jpg|https://i.ibb.co/VcLyS1Cz/4.jpg</v>
      </c>
      <c r="J263" t="s">
        <v>36</v>
      </c>
      <c r="K263" t="s">
        <v>37</v>
      </c>
      <c r="L263" t="str">
        <f t="shared" si="8"/>
        <v>Женская обувь</v>
      </c>
      <c r="M263" t="s">
        <v>38</v>
      </c>
      <c r="N263" t="s">
        <v>39</v>
      </c>
      <c r="O263" t="str">
        <f>PROPER('[1]Основной сток'!F260)</f>
        <v>Adidas</v>
      </c>
      <c r="P263" t="str">
        <f>'[1]Основной сток'!M260</f>
        <v>Розовый</v>
      </c>
      <c r="R263" t="s">
        <v>41</v>
      </c>
      <c r="S263" t="s">
        <v>42</v>
      </c>
      <c r="T263" t="str">
        <f t="shared" ref="T263:T326" si="9">IF(L263="Мужская обувь","Кроссовки","Кроссовки и кеды")</f>
        <v>Кроссовки и кеды</v>
      </c>
      <c r="U263">
        <f>'[1]Основной сток'!J260 - 1</f>
        <v>35.5</v>
      </c>
      <c r="V263" t="s">
        <v>43</v>
      </c>
      <c r="X263" t="s">
        <v>44</v>
      </c>
      <c r="Y263" t="s">
        <v>45</v>
      </c>
    </row>
    <row r="264" spans="1:25" x14ac:dyDescent="0.15">
      <c r="A264" s="6">
        <f>'[1]Основной сток'!A261</f>
        <v>3114140</v>
      </c>
      <c r="B264" t="s">
        <v>33</v>
      </c>
      <c r="D264" t="s">
        <v>34</v>
      </c>
      <c r="E264" t="s">
        <v>35</v>
      </c>
      <c r="F264" s="7" t="str">
        <f>PROPER(LEFT('[1]Основной сток'!I261,FIND(CHAR(10),'[1]Основной сток'!I261&amp;CHAR(10))-1))</f>
        <v>Wmns Gazelle Indoor 'Grey Foam'</v>
      </c>
      <c r="G264" t="str">
        <f>F264 &amp; ", " &amp; '[1]Основной сток'!H261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сток'!J261 &amp; " / RU " &amp;
INDEX('[1]Размерная сетка'!$B$2:$B$40,MATCH('[1]Основной сток'!J261,'[1]Размерная сетка'!$A$2:$A$40,0)) &amp; " / US " &amp;
INDEX('[1]Размерная сетка'!$C$2:$C$40,MATCH('[1]Основной сток'!J261,'[1]Размерная сетка'!$A$2:$A$40,0)) &amp; " / см " &amp;
INDEX('[1]Размерная сетка'!$D$2:$D$40,MATCH('[1]Основной сток'!J261,'[1]Размерная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Wmns Gazelle Indoor 'Grey Foam', IF1807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64" s="8">
        <f>'[1]Основной сток'!L261</f>
        <v>23900</v>
      </c>
      <c r="I264" s="1" t="str" cm="1">
        <f t="array" ref="I264">VLOOKUP(INDEX('[1]Основной сток'!H:H,ROW()-3),[1]Фотки!A:B,2,FALSE)</f>
        <v>https://i.ibb.co/5hc6kxHJ/1-7f4793f1-e994-43d2-b714-dc3aefaaf03b-540x.jpg</v>
      </c>
      <c r="J264" t="s">
        <v>36</v>
      </c>
      <c r="K264" t="s">
        <v>37</v>
      </c>
      <c r="L264" t="str">
        <f t="shared" si="8"/>
        <v>Женская обувь</v>
      </c>
      <c r="M264" t="s">
        <v>38</v>
      </c>
      <c r="N264" t="s">
        <v>39</v>
      </c>
      <c r="O264" t="str">
        <f>PROPER('[1]Основной сток'!F261)</f>
        <v>Adidas</v>
      </c>
      <c r="P264" t="str">
        <f>'[1]Основной сток'!M261</f>
        <v>Серый</v>
      </c>
      <c r="R264" t="s">
        <v>41</v>
      </c>
      <c r="S264" t="s">
        <v>42</v>
      </c>
      <c r="T264" t="str">
        <f t="shared" si="9"/>
        <v>Кроссовки и кеды</v>
      </c>
      <c r="U264">
        <f>'[1]Основной сток'!J261 - 1</f>
        <v>38</v>
      </c>
      <c r="V264" t="s">
        <v>43</v>
      </c>
      <c r="X264" t="s">
        <v>44</v>
      </c>
      <c r="Y264" t="s">
        <v>45</v>
      </c>
    </row>
    <row r="265" spans="1:25" x14ac:dyDescent="0.15">
      <c r="A265" s="6">
        <f>'[1]Основной сток'!A262</f>
        <v>3115903</v>
      </c>
      <c r="B265" t="s">
        <v>33</v>
      </c>
      <c r="D265" t="s">
        <v>34</v>
      </c>
      <c r="E265" t="s">
        <v>35</v>
      </c>
      <c r="F265" s="7" t="str">
        <f>PROPER(LEFT('[1]Основной сток'!I262,FIND(CHAR(10),'[1]Основной сток'!I262&amp;CHAR(10))-1))</f>
        <v>Adidas Samba Sporty And Rich Yellow</v>
      </c>
      <c r="G265" t="str">
        <f>F265 &amp; ", " &amp; '[1]Основной сток'!H262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сток'!J262 &amp; " / RU " &amp;
INDEX('[1]Размерная сетка'!$B$2:$B$40,MATCH('[1]Основной сток'!J262,'[1]Размерная сетка'!$A$2:$A$40,0)) &amp; " / US " &amp;
INDEX('[1]Размерная сетка'!$C$2:$C$40,MATCH('[1]Основной сток'!J262,'[1]Размерная сетка'!$A$2:$A$40,0)) &amp; " / см " &amp;
INDEX('[1]Размерная сетка'!$D$2:$D$40,MATCH('[1]Основной сток'!J262,'[1]Размерная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Sporty And Rich Yellow, IF5661
• В наличии в Москве
• Оригинал, можно проверить при получении
• Совершенно новые, полный комплект
• Размер: EU 37 / RU 36 / US 6,5 / см 23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65" s="8">
        <f>'[1]Основной сток'!L262</f>
        <v>29000</v>
      </c>
      <c r="I265" s="1" t="str" cm="1">
        <f t="array" ref="I265">VLOOKUP(INDEX('[1]Основной сток'!H:H,ROW()-3),[1]Фотки!A:B,2,FALSE)</f>
        <v>https://i.ibb.co/fYhB00Tj/1.jpg|https://i.ibb.co/sJKgRHnn/2.jpg|https://i.ibb.co/fzryf1wB/3.jpg|https://i.ibb.co/204BQHjt/4.jpg</v>
      </c>
      <c r="J265" t="s">
        <v>36</v>
      </c>
      <c r="K265" t="s">
        <v>37</v>
      </c>
      <c r="L265" t="str">
        <f t="shared" si="8"/>
        <v>Женская обувь</v>
      </c>
      <c r="M265" t="s">
        <v>38</v>
      </c>
      <c r="N265" t="s">
        <v>39</v>
      </c>
      <c r="O265" t="str">
        <f>PROPER('[1]Основной сток'!F262)</f>
        <v>Adidas</v>
      </c>
      <c r="P265" t="str">
        <f>'[1]Основной сток'!M262</f>
        <v>Желтый</v>
      </c>
      <c r="R265" t="s">
        <v>41</v>
      </c>
      <c r="S265" t="s">
        <v>42</v>
      </c>
      <c r="T265" t="str">
        <f t="shared" si="9"/>
        <v>Кроссовки и кеды</v>
      </c>
      <c r="U265">
        <f>'[1]Основной сток'!J262 - 1</f>
        <v>36</v>
      </c>
      <c r="V265" t="s">
        <v>43</v>
      </c>
      <c r="X265" t="s">
        <v>44</v>
      </c>
      <c r="Y265" t="s">
        <v>45</v>
      </c>
    </row>
    <row r="266" spans="1:25" x14ac:dyDescent="0.15">
      <c r="A266" s="6">
        <f>'[1]Основной сток'!A263</f>
        <v>3119840</v>
      </c>
      <c r="B266" t="s">
        <v>33</v>
      </c>
      <c r="D266" t="s">
        <v>34</v>
      </c>
      <c r="E266" t="s">
        <v>35</v>
      </c>
      <c r="F266" s="7" t="str">
        <f>PROPER(LEFT('[1]Основной сток'!I263,FIND(CHAR(10),'[1]Основной сток'!I263&amp;CHAR(10))-1))</f>
        <v>Jordan 1 Retro Low Og 'Black Cement'</v>
      </c>
      <c r="G266" t="str">
        <f>F266 &amp; ", " &amp; '[1]Основной сток'!H263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сток'!J263 &amp; " / RU " &amp;
INDEX('[1]Размерная сетка'!$B$2:$B$40,MATCH('[1]Основной сток'!J263,'[1]Размерная сетка'!$A$2:$A$40,0)) &amp; " / US " &amp;
INDEX('[1]Размерная сетка'!$C$2:$C$40,MATCH('[1]Основной сток'!J263,'[1]Размерная сетка'!$A$2:$A$40,0)) &amp; " / см " &amp;
INDEX('[1]Размерная сетка'!$D$2:$D$40,MATCH('[1]Основной сток'!J263,'[1]Размерная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Retro Low Og 'Black Cement', CZ0790-001
• В наличии в Москве
• Оригинал, можно проверить при получении
• Совершенно новые, полный комплект
• Размер: EU 42,5 / RU 41,5 / US 9 / см 26,7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66" s="8">
        <f>'[1]Основной сток'!L263</f>
        <v>24000</v>
      </c>
      <c r="I266" s="1" t="str" cm="1">
        <f t="array" ref="I266">VLOOKUP(INDEX('[1]Основной сток'!H:H,ROW()-3),[1]Фотки!A:B,2,FALSE)</f>
        <v>https://i.ibb.co/mCtjHwp6/1.jpg|https://i.ibb.co/wnxt7L5/2.jpg|https://i.ibb.co/gFXdnNPZ/3.jpg|https://i.ibb.co/mCqDV6XL/4.jpg</v>
      </c>
      <c r="J266" t="s">
        <v>36</v>
      </c>
      <c r="K266" t="s">
        <v>37</v>
      </c>
      <c r="L266" t="str">
        <f t="shared" si="8"/>
        <v>Мужская обувь</v>
      </c>
      <c r="M266" t="s">
        <v>38</v>
      </c>
      <c r="N266" t="s">
        <v>39</v>
      </c>
      <c r="O266" t="str">
        <f>PROPER('[1]Основной сток'!F263)</f>
        <v>Jordan</v>
      </c>
      <c r="P266" t="str">
        <f>'[1]Основной сток'!M263</f>
        <v>Черный</v>
      </c>
      <c r="R266" t="s">
        <v>41</v>
      </c>
      <c r="S266" t="s">
        <v>42</v>
      </c>
      <c r="T266" t="str">
        <f t="shared" si="9"/>
        <v>Кроссовки</v>
      </c>
      <c r="U266">
        <f>'[1]Основной сток'!J263 - 1</f>
        <v>41.5</v>
      </c>
      <c r="V266" t="s">
        <v>43</v>
      </c>
      <c r="X266" t="s">
        <v>44</v>
      </c>
      <c r="Y266" t="s">
        <v>45</v>
      </c>
    </row>
    <row r="267" spans="1:25" x14ac:dyDescent="0.15">
      <c r="A267" s="6">
        <f>'[1]Основной сток'!A264</f>
        <v>3119841</v>
      </c>
      <c r="B267" t="s">
        <v>33</v>
      </c>
      <c r="D267" t="s">
        <v>34</v>
      </c>
      <c r="E267" t="s">
        <v>35</v>
      </c>
      <c r="F267" s="7" t="str">
        <f>PROPER(LEFT('[1]Основной сток'!I264,FIND(CHAR(10),'[1]Основной сток'!I264&amp;CHAR(10))-1))</f>
        <v>Jordan 1 Retro Low Og 'Black Cement'</v>
      </c>
      <c r="G267" t="str">
        <f>F267 &amp; ", " &amp; '[1]Основной сток'!H264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сток'!J264 &amp; " / RU " &amp;
INDEX('[1]Размерная сетка'!$B$2:$B$40,MATCH('[1]Основной сток'!J264,'[1]Размерная сетка'!$A$2:$A$40,0)) &amp; " / US " &amp;
INDEX('[1]Размерная сетка'!$C$2:$C$40,MATCH('[1]Основной сток'!J264,'[1]Размерная сетка'!$A$2:$A$40,0)) &amp; " / см " &amp;
INDEX('[1]Размерная сетка'!$D$2:$D$40,MATCH('[1]Основной сток'!J264,'[1]Размерная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Retro Low Og 'Black Cement', CZ0790-001
• В наличии в Москве
• Оригинал, можно проверить при получении
• Совершенно новые, полный комплект
• Размер: EU 43 / RU 42 / US 9,5 / см 27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67" s="8">
        <f>'[1]Основной сток'!L264</f>
        <v>24000</v>
      </c>
      <c r="I267" s="1" t="str" cm="1">
        <f t="array" ref="I267">VLOOKUP(INDEX('[1]Основной сток'!H:H,ROW()-3),[1]Фотки!A:B,2,FALSE)</f>
        <v>https://i.ibb.co/mCtjHwp6/1.jpg|https://i.ibb.co/wnxt7L5/2.jpg|https://i.ibb.co/gFXdnNPZ/3.jpg|https://i.ibb.co/mCqDV6XL/4.jpg</v>
      </c>
      <c r="J267" t="s">
        <v>36</v>
      </c>
      <c r="K267" t="s">
        <v>37</v>
      </c>
      <c r="L267" t="str">
        <f t="shared" si="8"/>
        <v>Мужская обувь</v>
      </c>
      <c r="M267" t="s">
        <v>38</v>
      </c>
      <c r="N267" t="s">
        <v>39</v>
      </c>
      <c r="O267" t="str">
        <f>PROPER('[1]Основной сток'!F264)</f>
        <v>Jordan</v>
      </c>
      <c r="P267" t="str">
        <f>'[1]Основной сток'!M264</f>
        <v>Черный</v>
      </c>
      <c r="R267" t="s">
        <v>41</v>
      </c>
      <c r="S267" t="s">
        <v>42</v>
      </c>
      <c r="T267" t="str">
        <f t="shared" si="9"/>
        <v>Кроссовки</v>
      </c>
      <c r="U267">
        <f>'[1]Основной сток'!J264 - 1</f>
        <v>42</v>
      </c>
      <c r="V267" t="s">
        <v>43</v>
      </c>
      <c r="X267" t="s">
        <v>44</v>
      </c>
      <c r="Y267" t="s">
        <v>45</v>
      </c>
    </row>
    <row r="268" spans="1:25" x14ac:dyDescent="0.15">
      <c r="A268" s="6">
        <f>'[1]Основной сток'!A265</f>
        <v>3119842</v>
      </c>
      <c r="B268" t="s">
        <v>33</v>
      </c>
      <c r="D268" t="s">
        <v>34</v>
      </c>
      <c r="E268" t="s">
        <v>35</v>
      </c>
      <c r="F268" s="7" t="str">
        <f>PROPER(LEFT('[1]Основной сток'!I265,FIND(CHAR(10),'[1]Основной сток'!I265&amp;CHAR(10))-1))</f>
        <v>Jordan 1 Retro Low Og 'Black Cement'</v>
      </c>
      <c r="G268" t="str">
        <f>F268 &amp; ", " &amp; '[1]Основной сток'!H265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сток'!J265 &amp; " / RU " &amp;
INDEX('[1]Размерная сетка'!$B$2:$B$40,MATCH('[1]Основной сток'!J265,'[1]Размерная сетка'!$A$2:$A$40,0)) &amp; " / US " &amp;
INDEX('[1]Размерная сетка'!$C$2:$C$40,MATCH('[1]Основной сток'!J265,'[1]Размерная сетка'!$A$2:$A$40,0)) &amp; " / см " &amp;
INDEX('[1]Размерная сетка'!$D$2:$D$40,MATCH('[1]Основной сток'!J265,'[1]Размерная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Retro Low Og 'Black Cement', CZ0790-001
• В наличии в Москве
• Оригинал, можно проверить при получении
• Совершенно новые, полный комплект
• Размер: EU 44 / RU 43 / US 10 / см 27,7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68" s="8">
        <f>'[1]Основной сток'!L265</f>
        <v>24000</v>
      </c>
      <c r="I268" s="1" t="str" cm="1">
        <f t="array" ref="I268">VLOOKUP(INDEX('[1]Основной сток'!H:H,ROW()-3),[1]Фотки!A:B,2,FALSE)</f>
        <v>https://i.ibb.co/mCtjHwp6/1.jpg|https://i.ibb.co/wnxt7L5/2.jpg|https://i.ibb.co/gFXdnNPZ/3.jpg|https://i.ibb.co/mCqDV6XL/4.jpg</v>
      </c>
      <c r="J268" t="s">
        <v>36</v>
      </c>
      <c r="K268" t="s">
        <v>37</v>
      </c>
      <c r="L268" t="str">
        <f t="shared" si="8"/>
        <v>Мужская обувь</v>
      </c>
      <c r="M268" t="s">
        <v>38</v>
      </c>
      <c r="N268" t="s">
        <v>39</v>
      </c>
      <c r="O268" t="str">
        <f>PROPER('[1]Основной сток'!F265)</f>
        <v>Jordan</v>
      </c>
      <c r="P268" t="str">
        <f>'[1]Основной сток'!M265</f>
        <v>Черный</v>
      </c>
      <c r="R268" t="s">
        <v>41</v>
      </c>
      <c r="S268" t="s">
        <v>42</v>
      </c>
      <c r="T268" t="str">
        <f t="shared" si="9"/>
        <v>Кроссовки</v>
      </c>
      <c r="U268">
        <f>'[1]Основной сток'!J265 - 1</f>
        <v>43</v>
      </c>
      <c r="V268" t="s">
        <v>43</v>
      </c>
      <c r="X268" t="s">
        <v>44</v>
      </c>
      <c r="Y268" t="s">
        <v>45</v>
      </c>
    </row>
    <row r="269" spans="1:25" x14ac:dyDescent="0.15">
      <c r="A269" s="6">
        <f>'[1]Основной сток'!A266</f>
        <v>3119843</v>
      </c>
      <c r="B269" t="s">
        <v>33</v>
      </c>
      <c r="D269" t="s">
        <v>34</v>
      </c>
      <c r="E269" t="s">
        <v>35</v>
      </c>
      <c r="F269" s="7" t="str">
        <f>PROPER(LEFT('[1]Основной сток'!I266,FIND(CHAR(10),'[1]Основной сток'!I266&amp;CHAR(10))-1))</f>
        <v>Jordan 1 Retro Low Og 'Black Cement'</v>
      </c>
      <c r="G269" t="str">
        <f>F269 &amp; ", " &amp; '[1]Основной сток'!H266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сток'!J266 &amp; " / RU " &amp;
INDEX('[1]Размерная сетка'!$B$2:$B$40,MATCH('[1]Основной сток'!J266,'[1]Размерная сетка'!$A$2:$A$40,0)) &amp; " / US " &amp;
INDEX('[1]Размерная сетка'!$C$2:$C$40,MATCH('[1]Основной сток'!J266,'[1]Размерная сетка'!$A$2:$A$40,0)) &amp; " / см " &amp;
INDEX('[1]Размерная сетка'!$D$2:$D$40,MATCH('[1]Основной сток'!J266,'[1]Размерная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Retro Low Og 'Black Cement', CZ0790-001
• В наличии в Москве
• Оригинал, можно проверить при получении
• Совершенно новые, полный комплект
• Размер: EU 44,5 / RU 43,5 / US 10,5 / см 28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69" s="8">
        <f>'[1]Основной сток'!L266</f>
        <v>24000</v>
      </c>
      <c r="I269" s="1" t="str" cm="1">
        <f t="array" ref="I269">VLOOKUP(INDEX('[1]Основной сток'!H:H,ROW()-3),[1]Фотки!A:B,2,FALSE)</f>
        <v>https://i.ibb.co/mCtjHwp6/1.jpg|https://i.ibb.co/wnxt7L5/2.jpg|https://i.ibb.co/gFXdnNPZ/3.jpg|https://i.ibb.co/mCqDV6XL/4.jpg</v>
      </c>
      <c r="J269" t="s">
        <v>36</v>
      </c>
      <c r="K269" t="s">
        <v>37</v>
      </c>
      <c r="L269" t="str">
        <f t="shared" si="8"/>
        <v>Мужская обувь</v>
      </c>
      <c r="M269" t="s">
        <v>38</v>
      </c>
      <c r="N269" t="s">
        <v>39</v>
      </c>
      <c r="O269" t="str">
        <f>PROPER('[1]Основной сток'!F266)</f>
        <v>Jordan</v>
      </c>
      <c r="P269" t="str">
        <f>'[1]Основной сток'!M266</f>
        <v>Черный</v>
      </c>
      <c r="R269" t="s">
        <v>41</v>
      </c>
      <c r="S269" t="s">
        <v>42</v>
      </c>
      <c r="T269" t="str">
        <f t="shared" si="9"/>
        <v>Кроссовки</v>
      </c>
      <c r="U269">
        <f>'[1]Основной сток'!J266 - 1</f>
        <v>43.5</v>
      </c>
      <c r="V269" t="s">
        <v>43</v>
      </c>
      <c r="X269" t="s">
        <v>44</v>
      </c>
      <c r="Y269" t="s">
        <v>45</v>
      </c>
    </row>
    <row r="270" spans="1:25" x14ac:dyDescent="0.15">
      <c r="A270" s="6">
        <f>'[1]Основной сток'!A267</f>
        <v>3119858</v>
      </c>
      <c r="B270" t="s">
        <v>33</v>
      </c>
      <c r="D270" t="s">
        <v>34</v>
      </c>
      <c r="E270" t="s">
        <v>35</v>
      </c>
      <c r="F270" s="7" t="str">
        <f>PROPER(LEFT('[1]Основной сток'!I267,FIND(CHAR(10),'[1]Основной сток'!I267&amp;CHAR(10))-1))</f>
        <v>Wales Bonner X Samba Nylon 'Wonder Clay Royal Blue'</v>
      </c>
      <c r="G270" t="str">
        <f>F270 &amp; ", " &amp; '[1]Основной сток'!H267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сток'!J267 &amp; " / RU " &amp;
INDEX('[1]Размерная сетка'!$B$2:$B$40,MATCH('[1]Основной сток'!J267,'[1]Размерная сетка'!$A$2:$A$40,0)) &amp; " / US " &amp;
INDEX('[1]Размерная сетка'!$C$2:$C$40,MATCH('[1]Основной сток'!J267,'[1]Размерная сетка'!$A$2:$A$40,0)) &amp; " / см " &amp;
INDEX('[1]Размерная сетка'!$D$2:$D$40,MATCH('[1]Основной сток'!J267,'[1]Размерная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Wales Bonner X Samba Nylon 'Wonder Clay Royal Blue', IH7756
• В наличии в Москве
• Оригинал, можно проверить при получении
• Совершенно новые, полный комплект
• Размер: EU 40,5 / RU 39,5 / US 9 / см 25,3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70" s="8">
        <f>'[1]Основной сток'!L267</f>
        <v>36000</v>
      </c>
      <c r="I270" s="1" t="str" cm="1">
        <f t="array" ref="I270">VLOOKUP(INDEX('[1]Основной сток'!H:H,ROW()-3),[1]Фотки!A:B,2,FALSE)</f>
        <v>https://i.ibb.co/PGPyLHMy/1.jpg|https://i.ibb.co/Psf54951/2.jpg|https://i.ibb.co/k60MLB6r/3.jpg|https://i.ibb.co/Kpgn7WjF/4.jpg</v>
      </c>
      <c r="J270" t="s">
        <v>36</v>
      </c>
      <c r="K270" t="s">
        <v>37</v>
      </c>
      <c r="L270" t="str">
        <f t="shared" si="8"/>
        <v>Женская обувь</v>
      </c>
      <c r="M270" t="s">
        <v>38</v>
      </c>
      <c r="N270" t="s">
        <v>39</v>
      </c>
      <c r="O270" t="str">
        <f>PROPER('[1]Основной сток'!F267)</f>
        <v>Adidas</v>
      </c>
      <c r="P270" t="str">
        <f>'[1]Основной сток'!M267</f>
        <v>Синий</v>
      </c>
      <c r="R270" t="s">
        <v>41</v>
      </c>
      <c r="S270" t="s">
        <v>42</v>
      </c>
      <c r="T270" t="str">
        <f t="shared" si="9"/>
        <v>Кроссовки и кеды</v>
      </c>
      <c r="U270">
        <f>'[1]Основной сток'!J267 - 1</f>
        <v>39.5</v>
      </c>
      <c r="V270" t="s">
        <v>43</v>
      </c>
      <c r="X270" t="s">
        <v>44</v>
      </c>
      <c r="Y270" t="s">
        <v>45</v>
      </c>
    </row>
    <row r="271" spans="1:25" x14ac:dyDescent="0.15">
      <c r="A271" s="6">
        <f>'[1]Основной сток'!A268</f>
        <v>3119859</v>
      </c>
      <c r="B271" t="s">
        <v>33</v>
      </c>
      <c r="D271" t="s">
        <v>34</v>
      </c>
      <c r="E271" t="s">
        <v>35</v>
      </c>
      <c r="F271" s="7" t="str">
        <f>PROPER(LEFT('[1]Основной сток'!I268,FIND(CHAR(10),'[1]Основной сток'!I268&amp;CHAR(10))-1))</f>
        <v>Wales Bonner X Samba Nylon 'Desert White'</v>
      </c>
      <c r="G271" t="str">
        <f>F271 &amp; ", " &amp; '[1]Основной сток'!H268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сток'!J268 &amp; " / RU " &amp;
INDEX('[1]Размерная сетка'!$B$2:$B$40,MATCH('[1]Основной сток'!J268,'[1]Размерная сетка'!$A$2:$A$40,0)) &amp; " / US " &amp;
INDEX('[1]Размерная сетка'!$C$2:$C$40,MATCH('[1]Основной сток'!J268,'[1]Размерная сетка'!$A$2:$A$40,0)) &amp; " / см " &amp;
INDEX('[1]Размерная сетка'!$D$2:$D$40,MATCH('[1]Основной сток'!J268,'[1]Размерная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Wales Bonner X Samba Nylon 'Desert White', IH3261
• В наличии в Москве
• Оригинал, можно проверить при получении
• Совершенно новые, полный комплект
• Размер: EU 40,5 / RU 39,5 / US 9 / см 25,3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71" s="8">
        <f>'[1]Основной сток'!L268</f>
        <v>36000</v>
      </c>
      <c r="I271" s="1" t="str" cm="1">
        <f t="array" ref="I271">VLOOKUP(INDEX('[1]Основной сток'!H:H,ROW()-3),[1]Фотки!A:B,2,FALSE)</f>
        <v>https://i.ibb.co/1fd3hB87/1-1.jpg</v>
      </c>
      <c r="J271" t="s">
        <v>36</v>
      </c>
      <c r="K271" t="s">
        <v>37</v>
      </c>
      <c r="L271" t="str">
        <f t="shared" si="8"/>
        <v>Женская обувь</v>
      </c>
      <c r="M271" t="s">
        <v>38</v>
      </c>
      <c r="N271" t="s">
        <v>39</v>
      </c>
      <c r="O271" t="str">
        <f>PROPER('[1]Основной сток'!F268)</f>
        <v>Adidas</v>
      </c>
      <c r="P271" t="str">
        <f>'[1]Основной сток'!M268</f>
        <v>Коричневый</v>
      </c>
      <c r="R271" t="s">
        <v>41</v>
      </c>
      <c r="S271" t="s">
        <v>42</v>
      </c>
      <c r="T271" t="str">
        <f t="shared" si="9"/>
        <v>Кроссовки и кеды</v>
      </c>
      <c r="U271">
        <f>'[1]Основной сток'!J268 - 1</f>
        <v>39.5</v>
      </c>
      <c r="V271" t="s">
        <v>43</v>
      </c>
      <c r="X271" t="s">
        <v>44</v>
      </c>
      <c r="Y271" t="s">
        <v>45</v>
      </c>
    </row>
    <row r="272" spans="1:25" x14ac:dyDescent="0.15">
      <c r="A272" s="6">
        <f>'[1]Основной сток'!A269</f>
        <v>3120834</v>
      </c>
      <c r="B272" t="s">
        <v>33</v>
      </c>
      <c r="D272" t="s">
        <v>34</v>
      </c>
      <c r="E272" t="s">
        <v>35</v>
      </c>
      <c r="F272" s="7" t="str">
        <f>PROPER(LEFT('[1]Основной сток'!I269,FIND(CHAR(10),'[1]Основной сток'!I269&amp;CHAR(10))-1))</f>
        <v>Adidas Gazelle Bold «Pink»</v>
      </c>
      <c r="G272" t="str">
        <f>F272 &amp; ", " &amp; '[1]Основной сток'!H269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сток'!J269 &amp; " / RU " &amp;
INDEX('[1]Размерная сетка'!$B$2:$B$40,MATCH('[1]Основной сток'!J269,'[1]Размерная сетка'!$A$2:$A$40,0)) &amp; " / US " &amp;
INDEX('[1]Размерная сетка'!$C$2:$C$40,MATCH('[1]Основной сток'!J269,'[1]Размерная сетка'!$A$2:$A$40,0)) &amp; " / см " &amp;
INDEX('[1]Размерная сетка'!$D$2:$D$40,MATCH('[1]Основной сток'!J269,'[1]Размерная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Bold «Pink», H06122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72" s="8">
        <f>'[1]Основной сток'!L269</f>
        <v>25000</v>
      </c>
      <c r="I272" s="1" t="str" cm="1">
        <f t="array" ref="I272">VLOOKUP(INDEX('[1]Основной сток'!H:H,ROW()-3),[1]Фотки!A:B,2,FALSE)</f>
        <v>https://i.ibb.co/7dNfKCTr/1.jpg|https://i.ibb.co/twYSjznp/2.jpg|https://i.ibb.co/sv7jYgSk/3.jpg|https://i.ibb.co/HWthNgn/4.jpg</v>
      </c>
      <c r="J272" t="s">
        <v>36</v>
      </c>
      <c r="K272" t="s">
        <v>37</v>
      </c>
      <c r="L272" t="str">
        <f t="shared" si="8"/>
        <v>Женская обувь</v>
      </c>
      <c r="M272" t="s">
        <v>38</v>
      </c>
      <c r="N272" t="s">
        <v>39</v>
      </c>
      <c r="O272" t="str">
        <f>PROPER('[1]Основной сток'!F269)</f>
        <v>Adidas</v>
      </c>
      <c r="P272" t="str">
        <f>'[1]Основной сток'!M269</f>
        <v>Розовый</v>
      </c>
      <c r="R272" t="s">
        <v>41</v>
      </c>
      <c r="S272" t="s">
        <v>42</v>
      </c>
      <c r="T272" t="str">
        <f t="shared" si="9"/>
        <v>Кроссовки и кеды</v>
      </c>
      <c r="U272">
        <f>'[1]Основной сток'!J269 - 1</f>
        <v>37.5</v>
      </c>
      <c r="V272" t="s">
        <v>43</v>
      </c>
      <c r="X272" t="s">
        <v>44</v>
      </c>
      <c r="Y272" t="s">
        <v>45</v>
      </c>
    </row>
    <row r="273" spans="1:25" x14ac:dyDescent="0.15">
      <c r="A273" s="6">
        <f>'[1]Основной сток'!A270</f>
        <v>3120837</v>
      </c>
      <c r="B273" t="s">
        <v>33</v>
      </c>
      <c r="D273" t="s">
        <v>34</v>
      </c>
      <c r="E273" t="s">
        <v>35</v>
      </c>
      <c r="F273" s="7" t="str">
        <f>PROPER(LEFT('[1]Основной сток'!I270,FIND(CHAR(10),'[1]Основной сток'!I270&amp;CHAR(10))-1))</f>
        <v>Wmns Gazelle Indoor 'Blue Fusion Gum'</v>
      </c>
      <c r="G273" t="str">
        <f>F273 &amp; ", " &amp; '[1]Основной сток'!H270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сток'!J270 &amp; " / RU " &amp;
INDEX('[1]Размерная сетка'!$B$2:$B$40,MATCH('[1]Основной сток'!J270,'[1]Размерная сетка'!$A$2:$A$40,0)) &amp; " / US " &amp;
INDEX('[1]Размерная сетка'!$C$2:$C$40,MATCH('[1]Основной сток'!J270,'[1]Размерная сетка'!$A$2:$A$40,0)) &amp; " / см " &amp;
INDEX('[1]Размерная сетка'!$D$2:$D$40,MATCH('[1]Основной сток'!J270,'[1]Размерная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Wmns Gazelle Indoor 'Blue Fusion Gum', HQ8717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73" s="8">
        <f>'[1]Основной сток'!L270</f>
        <v>25000</v>
      </c>
      <c r="I273" s="1" t="str" cm="1">
        <f t="array" ref="I273">VLOOKUP(INDEX('[1]Основной сток'!H:H,ROW()-3),[1]Фотки!A:B,2,FALSE)</f>
        <v>https://i.ibb.co/JFc2h5Zn/1-1.jpg|https://i.ibb.co/SDmRQjX6/2.jpg|https://i.ibb.co/ksVq1r5Q/3.jpg|https://i.ibb.co/pjmvBGCw/4.jpg</v>
      </c>
      <c r="J273" t="s">
        <v>36</v>
      </c>
      <c r="K273" t="s">
        <v>37</v>
      </c>
      <c r="L273" t="str">
        <f t="shared" si="8"/>
        <v>Женская обувь</v>
      </c>
      <c r="M273" t="s">
        <v>38</v>
      </c>
      <c r="N273" t="s">
        <v>39</v>
      </c>
      <c r="O273" t="str">
        <f>PROPER('[1]Основной сток'!F270)</f>
        <v>Adidas</v>
      </c>
      <c r="P273" t="str">
        <f>'[1]Основной сток'!M270</f>
        <v>Голубой</v>
      </c>
      <c r="R273" t="s">
        <v>41</v>
      </c>
      <c r="S273" t="s">
        <v>42</v>
      </c>
      <c r="T273" t="str">
        <f t="shared" si="9"/>
        <v>Кроссовки и кеды</v>
      </c>
      <c r="U273">
        <f>'[1]Основной сток'!J270 - 1</f>
        <v>37</v>
      </c>
      <c r="V273" t="s">
        <v>43</v>
      </c>
      <c r="X273" t="s">
        <v>44</v>
      </c>
      <c r="Y273" t="s">
        <v>45</v>
      </c>
    </row>
    <row r="274" spans="1:25" x14ac:dyDescent="0.15">
      <c r="A274" s="6">
        <f>'[1]Основной сток'!A271</f>
        <v>3120838</v>
      </c>
      <c r="B274" t="s">
        <v>33</v>
      </c>
      <c r="D274" t="s">
        <v>34</v>
      </c>
      <c r="E274" t="s">
        <v>35</v>
      </c>
      <c r="F274" s="7" t="str">
        <f>PROPER(LEFT('[1]Основной сток'!I271,FIND(CHAR(10),'[1]Основной сток'!I271&amp;CHAR(10))-1))</f>
        <v>Wmns Gazelle Indoor 'Blue Fusion Gum'</v>
      </c>
      <c r="G274" t="str">
        <f>F274 &amp; ", " &amp; '[1]Основной сток'!H271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сток'!J271 &amp; " / RU " &amp;
INDEX('[1]Размерная сетка'!$B$2:$B$40,MATCH('[1]Основной сток'!J271,'[1]Размерная сетка'!$A$2:$A$40,0)) &amp; " / US " &amp;
INDEX('[1]Размерная сетка'!$C$2:$C$40,MATCH('[1]Основной сток'!J271,'[1]Размерная сетка'!$A$2:$A$40,0)) &amp; " / см " &amp;
INDEX('[1]Размерная сетка'!$D$2:$D$40,MATCH('[1]Основной сток'!J271,'[1]Размерная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Wmns Gazelle Indoor 'Blue Fusion Gum', HQ8717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74" s="8">
        <f>'[1]Основной сток'!L271</f>
        <v>25000</v>
      </c>
      <c r="I274" s="1" t="str" cm="1">
        <f t="array" ref="I274">VLOOKUP(INDEX('[1]Основной сток'!H:H,ROW()-3),[1]Фотки!A:B,2,FALSE)</f>
        <v>https://i.ibb.co/JFc2h5Zn/1-1.jpg|https://i.ibb.co/SDmRQjX6/2.jpg|https://i.ibb.co/ksVq1r5Q/3.jpg|https://i.ibb.co/pjmvBGCw/4.jpg</v>
      </c>
      <c r="J274" t="s">
        <v>36</v>
      </c>
      <c r="K274" t="s">
        <v>37</v>
      </c>
      <c r="L274" t="str">
        <f t="shared" si="8"/>
        <v>Женская обувь</v>
      </c>
      <c r="M274" t="s">
        <v>38</v>
      </c>
      <c r="N274" t="s">
        <v>39</v>
      </c>
      <c r="O274" t="str">
        <f>PROPER('[1]Основной сток'!F271)</f>
        <v>Adidas</v>
      </c>
      <c r="P274" t="str">
        <f>'[1]Основной сток'!M271</f>
        <v>Голубой</v>
      </c>
      <c r="R274" t="s">
        <v>41</v>
      </c>
      <c r="S274" t="s">
        <v>42</v>
      </c>
      <c r="T274" t="str">
        <f t="shared" si="9"/>
        <v>Кроссовки и кеды</v>
      </c>
      <c r="U274">
        <f>'[1]Основной сток'!J271 - 1</f>
        <v>38</v>
      </c>
      <c r="V274" t="s">
        <v>43</v>
      </c>
      <c r="X274" t="s">
        <v>44</v>
      </c>
      <c r="Y274" t="s">
        <v>45</v>
      </c>
    </row>
    <row r="275" spans="1:25" x14ac:dyDescent="0.15">
      <c r="A275" s="6">
        <f>'[1]Основной сток'!A272</f>
        <v>3120847</v>
      </c>
      <c r="B275" t="s">
        <v>33</v>
      </c>
      <c r="D275" t="s">
        <v>34</v>
      </c>
      <c r="E275" t="s">
        <v>35</v>
      </c>
      <c r="F275" s="7" t="str">
        <f>PROPER(LEFT('[1]Основной сток'!I272,FIND(CHAR(10),'[1]Основной сток'!I272&amp;CHAR(10))-1))</f>
        <v>Adidas Samba Purple Beidge</v>
      </c>
      <c r="G275" t="str">
        <f>F275 &amp; ", " &amp; '[1]Основной сток'!H272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сток'!J272 &amp; " / RU " &amp;
INDEX('[1]Размерная сетка'!$B$2:$B$40,MATCH('[1]Основной сток'!J272,'[1]Размерная сетка'!$A$2:$A$40,0)) &amp; " / US " &amp;
INDEX('[1]Размерная сетка'!$C$2:$C$40,MATCH('[1]Основной сток'!J272,'[1]Размерная сетка'!$A$2:$A$40,0)) &amp; " / см " &amp;
INDEX('[1]Размерная сетка'!$D$2:$D$40,MATCH('[1]Основной сток'!J272,'[1]Размерная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Purple Beidge, IE1417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75" s="8">
        <f>'[1]Основной сток'!L272</f>
        <v>19990</v>
      </c>
      <c r="I275" s="1" t="str" cm="1">
        <f t="array" ref="I275">VLOOKUP(INDEX('[1]Основной сток'!H:H,ROW()-3),[1]Фотки!A:B,2,FALSE)</f>
        <v>https://i.ibb.co/S4h8cW9q/1-1.jpg|https://i.ibb.co/YBt9kZ0Z/2.jpg|https://i.ibb.co/0jfVcSgm/3.jpg|https://i.ibb.co/C5yw3zRt/4.jpg</v>
      </c>
      <c r="J275" t="s">
        <v>36</v>
      </c>
      <c r="K275" t="s">
        <v>37</v>
      </c>
      <c r="L275" t="str">
        <f t="shared" si="8"/>
        <v>Женская обувь</v>
      </c>
      <c r="M275" t="s">
        <v>38</v>
      </c>
      <c r="N275" t="s">
        <v>39</v>
      </c>
      <c r="O275" t="str">
        <f>PROPER('[1]Основной сток'!F272)</f>
        <v>Adidas</v>
      </c>
      <c r="P275" t="str">
        <f>'[1]Основной сток'!M272</f>
        <v>Белый</v>
      </c>
      <c r="R275" t="s">
        <v>41</v>
      </c>
      <c r="S275" t="s">
        <v>42</v>
      </c>
      <c r="T275" t="str">
        <f t="shared" si="9"/>
        <v>Кроссовки и кеды</v>
      </c>
      <c r="U275">
        <f>'[1]Основной сток'!J272 - 1</f>
        <v>37</v>
      </c>
      <c r="V275" t="s">
        <v>43</v>
      </c>
      <c r="X275" t="s">
        <v>44</v>
      </c>
      <c r="Y275" t="s">
        <v>45</v>
      </c>
    </row>
    <row r="276" spans="1:25" x14ac:dyDescent="0.15">
      <c r="A276" s="6">
        <f>'[1]Основной сток'!A273</f>
        <v>3120848</v>
      </c>
      <c r="B276" t="s">
        <v>33</v>
      </c>
      <c r="D276" t="s">
        <v>34</v>
      </c>
      <c r="E276" t="s">
        <v>35</v>
      </c>
      <c r="F276" s="7" t="str">
        <f>PROPER(LEFT('[1]Основной сток'!I273,FIND(CHAR(10),'[1]Основной сток'!I273&amp;CHAR(10))-1))</f>
        <v>Adidas Samba Purple Beidge</v>
      </c>
      <c r="G276" t="str">
        <f>F276 &amp; ", " &amp; '[1]Основной сток'!H273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сток'!J273 &amp; " / RU " &amp;
INDEX('[1]Размерная сетка'!$B$2:$B$40,MATCH('[1]Основной сток'!J273,'[1]Размерная сетка'!$A$2:$A$40,0)) &amp; " / US " &amp;
INDEX('[1]Размерная сетка'!$C$2:$C$40,MATCH('[1]Основной сток'!J273,'[1]Размерная сетка'!$A$2:$A$40,0)) &amp; " / см " &amp;
INDEX('[1]Размерная сетка'!$D$2:$D$40,MATCH('[1]Основной сток'!J273,'[1]Размерная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Purple Beidge, IE1417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76" s="8">
        <f>'[1]Основной сток'!L273</f>
        <v>19990</v>
      </c>
      <c r="I276" s="1" t="str" cm="1">
        <f t="array" ref="I276">VLOOKUP(INDEX('[1]Основной сток'!H:H,ROW()-3),[1]Фотки!A:B,2,FALSE)</f>
        <v>https://i.ibb.co/S4h8cW9q/1-1.jpg|https://i.ibb.co/YBt9kZ0Z/2.jpg|https://i.ibb.co/0jfVcSgm/3.jpg|https://i.ibb.co/C5yw3zRt/4.jpg</v>
      </c>
      <c r="J276" t="s">
        <v>36</v>
      </c>
      <c r="K276" t="s">
        <v>37</v>
      </c>
      <c r="L276" t="str">
        <f t="shared" si="8"/>
        <v>Женская обувь</v>
      </c>
      <c r="M276" t="s">
        <v>38</v>
      </c>
      <c r="N276" t="s">
        <v>39</v>
      </c>
      <c r="O276" t="str">
        <f>PROPER('[1]Основной сток'!F273)</f>
        <v>Adidas</v>
      </c>
      <c r="P276" t="str">
        <f>'[1]Основной сток'!M273</f>
        <v>Белый</v>
      </c>
      <c r="R276" t="s">
        <v>41</v>
      </c>
      <c r="S276" t="s">
        <v>42</v>
      </c>
      <c r="T276" t="str">
        <f t="shared" si="9"/>
        <v>Кроссовки и кеды</v>
      </c>
      <c r="U276">
        <f>'[1]Основной сток'!J273 - 1</f>
        <v>39</v>
      </c>
      <c r="V276" t="s">
        <v>43</v>
      </c>
      <c r="X276" t="s">
        <v>44</v>
      </c>
      <c r="Y276" t="s">
        <v>45</v>
      </c>
    </row>
    <row r="277" spans="1:25" x14ac:dyDescent="0.15">
      <c r="A277" s="6">
        <f>'[1]Основной сток'!A274</f>
        <v>3120850</v>
      </c>
      <c r="B277" t="s">
        <v>33</v>
      </c>
      <c r="D277" t="s">
        <v>34</v>
      </c>
      <c r="E277" t="s">
        <v>35</v>
      </c>
      <c r="F277" s="7" t="str">
        <f>PROPER(LEFT('[1]Основной сток'!I274,FIND(CHAR(10),'[1]Основной сток'!I274&amp;CHAR(10))-1))</f>
        <v>Adidas Gazelle «Collegiate Green Pink»</v>
      </c>
      <c r="G277" t="str">
        <f>F277 &amp; ", " &amp; '[1]Основной сток'!H274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сток'!J274 &amp; " / RU " &amp;
INDEX('[1]Размерная сетка'!$B$2:$B$40,MATCH('[1]Основной сток'!J274,'[1]Размерная сетка'!$A$2:$A$40,0)) &amp; " / US " &amp;
INDEX('[1]Размерная сетка'!$C$2:$C$40,MATCH('[1]Основной сток'!J274,'[1]Размерная сетка'!$A$2:$A$40,0)) &amp; " / см " &amp;
INDEX('[1]Размерная сетка'!$D$2:$D$40,MATCH('[1]Основной сток'!J274,'[1]Размерная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«Collegiate Green Pink», IG5929
• В наличии в Москве
• Оригинал, можно проверить при получении
• Совершенно новые, полный комплект
• Размер: EU 36,5 / RU 35,5 / US 6 / см 22,7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77" s="8">
        <f>'[1]Основной сток'!L274</f>
        <v>24000</v>
      </c>
      <c r="I277" s="1" t="str" cm="1">
        <f t="array" ref="I277">VLOOKUP(INDEX('[1]Основной сток'!H:H,ROW()-3),[1]Фотки!A:B,2,FALSE)</f>
        <v>https://i.ibb.co/1tS80vWw/1.jpg|https://i.ibb.co/FqWSN2sx/2.jpg|https://i.ibb.co/3V0whNk/3.jpg|https://i.ibb.co/zCwbRGP/4.jpg</v>
      </c>
      <c r="J277" t="s">
        <v>36</v>
      </c>
      <c r="K277" t="s">
        <v>37</v>
      </c>
      <c r="L277" t="str">
        <f t="shared" si="8"/>
        <v>Женская обувь</v>
      </c>
      <c r="M277" t="s">
        <v>38</v>
      </c>
      <c r="N277" t="s">
        <v>39</v>
      </c>
      <c r="O277" t="str">
        <f>PROPER('[1]Основной сток'!F274)</f>
        <v>Adidas</v>
      </c>
      <c r="P277" t="str">
        <f>'[1]Основной сток'!M274</f>
        <v>Зелёный</v>
      </c>
      <c r="R277" t="s">
        <v>41</v>
      </c>
      <c r="S277" t="s">
        <v>42</v>
      </c>
      <c r="T277" t="str">
        <f t="shared" si="9"/>
        <v>Кроссовки и кеды</v>
      </c>
      <c r="U277">
        <f>'[1]Основной сток'!J274 - 1</f>
        <v>35.5</v>
      </c>
      <c r="V277" t="s">
        <v>43</v>
      </c>
      <c r="X277" t="s">
        <v>44</v>
      </c>
      <c r="Y277" t="s">
        <v>45</v>
      </c>
    </row>
    <row r="278" spans="1:25" x14ac:dyDescent="0.15">
      <c r="A278" s="6">
        <f>'[1]Основной сток'!A275</f>
        <v>3120854</v>
      </c>
      <c r="B278" t="s">
        <v>33</v>
      </c>
      <c r="D278" t="s">
        <v>34</v>
      </c>
      <c r="E278" t="s">
        <v>35</v>
      </c>
      <c r="F278" s="7" t="str">
        <f>PROPER(LEFT('[1]Основной сток'!I275,FIND(CHAR(10),'[1]Основной сток'!I275&amp;CHAR(10))-1))</f>
        <v>Caroline Hu X Clot X Samba 'Reverie - Black'</v>
      </c>
      <c r="G278" t="str">
        <f>F278 &amp; ", " &amp; '[1]Основной сток'!H275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сток'!J275 &amp; " / RU " &amp;
INDEX('[1]Размерная сетка'!$B$2:$B$40,MATCH('[1]Основной сток'!J275,'[1]Размерная сетка'!$A$2:$A$40,0)) &amp; " / US " &amp;
INDEX('[1]Размерная сетка'!$C$2:$C$40,MATCH('[1]Основной сток'!J275,'[1]Размерная сетка'!$A$2:$A$40,0)) &amp; " / см " &amp;
INDEX('[1]Размерная сетка'!$D$2:$D$40,MATCH('[1]Основной сток'!J275,'[1]Размерная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Caroline Hu X Clot X Samba 'Reverie - Black', JQ4749
• В наличии в Москве
• Оригинал, можно проверить при получении
• Совершенно новые, полный комплект
• Размер: EU 36,5 / RU 35,5 / US 6 / см 22,7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78" s="8">
        <f>'[1]Основной сток'!L275</f>
        <v>40000</v>
      </c>
      <c r="I278" s="1" t="str" cm="1">
        <f t="array" ref="I278">VLOOKUP(INDEX('[1]Основной сток'!H:H,ROW()-3),[1]Фотки!A:B,2,FALSE)</f>
        <v>https://i.ibb.co/7xw4qWb4/1.jpg</v>
      </c>
      <c r="J278" t="s">
        <v>36</v>
      </c>
      <c r="K278" t="s">
        <v>37</v>
      </c>
      <c r="L278" t="str">
        <f t="shared" si="8"/>
        <v>Женская обувь</v>
      </c>
      <c r="M278" t="s">
        <v>38</v>
      </c>
      <c r="N278" t="s">
        <v>39</v>
      </c>
      <c r="O278" t="str">
        <f>PROPER('[1]Основной сток'!F275)</f>
        <v>Adidas</v>
      </c>
      <c r="P278" t="str">
        <f>'[1]Основной сток'!M275</f>
        <v>Черный</v>
      </c>
      <c r="R278" t="s">
        <v>41</v>
      </c>
      <c r="S278" t="s">
        <v>42</v>
      </c>
      <c r="T278" t="str">
        <f t="shared" si="9"/>
        <v>Кроссовки и кеды</v>
      </c>
      <c r="U278">
        <f>'[1]Основной сток'!J275 - 1</f>
        <v>35.5</v>
      </c>
      <c r="V278" t="s">
        <v>43</v>
      </c>
      <c r="X278" t="s">
        <v>44</v>
      </c>
      <c r="Y278" t="s">
        <v>45</v>
      </c>
    </row>
    <row r="279" spans="1:25" x14ac:dyDescent="0.15">
      <c r="A279" s="6">
        <f>'[1]Основной сток'!A276</f>
        <v>3120858</v>
      </c>
      <c r="B279" t="s">
        <v>33</v>
      </c>
      <c r="D279" t="s">
        <v>34</v>
      </c>
      <c r="E279" t="s">
        <v>35</v>
      </c>
      <c r="F279" s="7" t="str">
        <f>PROPER(LEFT('[1]Основной сток'!I276,FIND(CHAR(10),'[1]Основной сток'!I276&amp;CHAR(10))-1))</f>
        <v>Caroline Hu X Clot X Samba 'Reverie - Black Lace Shell'</v>
      </c>
      <c r="G279" t="str">
        <f>F279 &amp; ", " &amp; '[1]Основной сток'!H276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сток'!J276 &amp; " / RU " &amp;
INDEX('[1]Размерная сетка'!$B$2:$B$40,MATCH('[1]Основной сток'!J276,'[1]Размерная сетка'!$A$2:$A$40,0)) &amp; " / US " &amp;
INDEX('[1]Размерная сетка'!$C$2:$C$40,MATCH('[1]Основной сток'!J276,'[1]Размерная сетка'!$A$2:$A$40,0)) &amp; " / см " &amp;
INDEX('[1]Размерная сетка'!$D$2:$D$40,MATCH('[1]Основной сток'!J276,'[1]Размерная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Caroline Hu X Clot X Samba 'Reverie - Black Lace Shell', JS2778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79" s="8">
        <f>'[1]Основной сток'!L276</f>
        <v>40000</v>
      </c>
      <c r="I279" s="1" t="str" cm="1">
        <f t="array" ref="I279">VLOOKUP(INDEX('[1]Основной сток'!H:H,ROW()-3),[1]Фотки!A:B,2,FALSE)</f>
        <v>https://i.ibb.co/tMtjtV34/1-1.jpg</v>
      </c>
      <c r="J279" t="s">
        <v>36</v>
      </c>
      <c r="K279" t="s">
        <v>37</v>
      </c>
      <c r="L279" t="str">
        <f t="shared" si="8"/>
        <v>Женская обувь</v>
      </c>
      <c r="M279" t="s">
        <v>38</v>
      </c>
      <c r="N279" t="s">
        <v>39</v>
      </c>
      <c r="O279" t="str">
        <f>PROPER('[1]Основной сток'!F276)</f>
        <v>Adidas</v>
      </c>
      <c r="P279" t="str">
        <f>'[1]Основной сток'!M276</f>
        <v>Черный</v>
      </c>
      <c r="R279" t="s">
        <v>41</v>
      </c>
      <c r="S279" t="s">
        <v>42</v>
      </c>
      <c r="T279" t="str">
        <f t="shared" si="9"/>
        <v>Кроссовки и кеды</v>
      </c>
      <c r="U279">
        <f>'[1]Основной сток'!J276 - 1</f>
        <v>37</v>
      </c>
      <c r="V279" t="s">
        <v>43</v>
      </c>
      <c r="X279" t="s">
        <v>44</v>
      </c>
      <c r="Y279" t="s">
        <v>45</v>
      </c>
    </row>
    <row r="280" spans="1:25" x14ac:dyDescent="0.15">
      <c r="A280" s="6">
        <f>'[1]Основной сток'!A277</f>
        <v>3120860</v>
      </c>
      <c r="B280" t="s">
        <v>33</v>
      </c>
      <c r="D280" t="s">
        <v>34</v>
      </c>
      <c r="E280" t="s">
        <v>35</v>
      </c>
      <c r="F280" s="7" t="str">
        <f>PROPER(LEFT('[1]Основной сток'!I277,FIND(CHAR(10),'[1]Основной сток'!I277&amp;CHAR(10))-1))</f>
        <v>Caroline Hu X Clot X Samba 'Reverie - Blue Lace Shell'</v>
      </c>
      <c r="G280" t="str">
        <f>F280 &amp; ", " &amp; '[1]Основной сток'!H277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сток'!J277 &amp; " / RU " &amp;
INDEX('[1]Размерная сетка'!$B$2:$B$40,MATCH('[1]Основной сток'!J277,'[1]Размерная сетка'!$A$2:$A$40,0)) &amp; " / US " &amp;
INDEX('[1]Размерная сетка'!$C$2:$C$40,MATCH('[1]Основной сток'!J277,'[1]Размерная сетка'!$A$2:$A$40,0)) &amp; " / см " &amp;
INDEX('[1]Размерная сетка'!$D$2:$D$40,MATCH('[1]Основной сток'!J277,'[1]Размерная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Caroline Hu X Clot X Samba 'Reverie - Blue Lace Shell', JS2777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80" s="8">
        <f>'[1]Основной сток'!L277</f>
        <v>40000</v>
      </c>
      <c r="I280" s="1" t="str" cm="1">
        <f t="array" ref="I280">VLOOKUP(INDEX('[1]Основной сток'!H:H,ROW()-3),[1]Фотки!A:B,2,FALSE)</f>
        <v>https://i.ibb.co/Q7VdTB6X/1.jpg</v>
      </c>
      <c r="J280" t="s">
        <v>36</v>
      </c>
      <c r="K280" t="s">
        <v>37</v>
      </c>
      <c r="L280" t="str">
        <f t="shared" si="8"/>
        <v>Женская обувь</v>
      </c>
      <c r="M280" t="s">
        <v>38</v>
      </c>
      <c r="N280" t="s">
        <v>39</v>
      </c>
      <c r="O280" t="str">
        <f>PROPER('[1]Основной сток'!F277)</f>
        <v>Adidas</v>
      </c>
      <c r="P280" t="str">
        <f>'[1]Основной сток'!M277</f>
        <v>Синий</v>
      </c>
      <c r="R280" t="s">
        <v>41</v>
      </c>
      <c r="S280" t="s">
        <v>42</v>
      </c>
      <c r="T280" t="str">
        <f t="shared" si="9"/>
        <v>Кроссовки и кеды</v>
      </c>
      <c r="U280">
        <f>'[1]Основной сток'!J277 - 1</f>
        <v>37</v>
      </c>
      <c r="V280" t="s">
        <v>43</v>
      </c>
      <c r="X280" t="s">
        <v>44</v>
      </c>
      <c r="Y280" t="s">
        <v>45</v>
      </c>
    </row>
    <row r="281" spans="1:25" x14ac:dyDescent="0.15">
      <c r="A281" s="6">
        <f>'[1]Основной сток'!A278</f>
        <v>3120861</v>
      </c>
      <c r="B281" t="s">
        <v>33</v>
      </c>
      <c r="D281" t="s">
        <v>34</v>
      </c>
      <c r="E281" t="s">
        <v>35</v>
      </c>
      <c r="F281" s="7" t="str">
        <f>PROPER(LEFT('[1]Основной сток'!I278,FIND(CHAR(10),'[1]Основной сток'!I278&amp;CHAR(10))-1))</f>
        <v>Caroline Hu X Clot X Samba 'Reverie - Blue Lace Shell'</v>
      </c>
      <c r="G281" t="str">
        <f>F281 &amp; ", " &amp; '[1]Основной сток'!H278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сток'!J278 &amp; " / RU " &amp;
INDEX('[1]Размерная сетка'!$B$2:$B$40,MATCH('[1]Основной сток'!J278,'[1]Размерная сетка'!$A$2:$A$40,0)) &amp; " / US " &amp;
INDEX('[1]Размерная сетка'!$C$2:$C$40,MATCH('[1]Основной сток'!J278,'[1]Размерная сетка'!$A$2:$A$40,0)) &amp; " / см " &amp;
INDEX('[1]Размерная сетка'!$D$2:$D$40,MATCH('[1]Основной сток'!J278,'[1]Размерная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Caroline Hu X Clot X Samba 'Reverie - Blue Lace Shell', JS2777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81" s="8">
        <f>'[1]Основной сток'!L278</f>
        <v>40000</v>
      </c>
      <c r="I281" s="1" t="str" cm="1">
        <f t="array" ref="I281">VLOOKUP(INDEX('[1]Основной сток'!H:H,ROW()-3),[1]Фотки!A:B,2,FALSE)</f>
        <v>https://i.ibb.co/Q7VdTB6X/1.jpg</v>
      </c>
      <c r="J281" t="s">
        <v>36</v>
      </c>
      <c r="K281" t="s">
        <v>37</v>
      </c>
      <c r="L281" t="str">
        <f t="shared" si="8"/>
        <v>Женская обувь</v>
      </c>
      <c r="M281" t="s">
        <v>38</v>
      </c>
      <c r="N281" t="s">
        <v>39</v>
      </c>
      <c r="O281" t="str">
        <f>PROPER('[1]Основной сток'!F278)</f>
        <v>Adidas</v>
      </c>
      <c r="P281" t="str">
        <f>'[1]Основной сток'!M278</f>
        <v>Синий</v>
      </c>
      <c r="R281" t="s">
        <v>41</v>
      </c>
      <c r="S281" t="s">
        <v>42</v>
      </c>
      <c r="T281" t="str">
        <f t="shared" si="9"/>
        <v>Кроссовки и кеды</v>
      </c>
      <c r="U281">
        <f>'[1]Основной сток'!J278 - 1</f>
        <v>37.5</v>
      </c>
      <c r="V281" t="s">
        <v>43</v>
      </c>
      <c r="X281" t="s">
        <v>44</v>
      </c>
      <c r="Y281" t="s">
        <v>45</v>
      </c>
    </row>
    <row r="282" spans="1:25" x14ac:dyDescent="0.15">
      <c r="A282" s="6">
        <f>'[1]Основной сток'!A279</f>
        <v>3120862</v>
      </c>
      <c r="B282" t="s">
        <v>33</v>
      </c>
      <c r="D282" t="s">
        <v>34</v>
      </c>
      <c r="E282" t="s">
        <v>35</v>
      </c>
      <c r="F282" s="7" t="str">
        <f>PROPER(LEFT('[1]Основной сток'!I279,FIND(CHAR(10),'[1]Основной сток'!I279&amp;CHAR(10))-1))</f>
        <v>Caroline Hu X Clot X Samba 'Reverie - Blue Lace Shell'</v>
      </c>
      <c r="G282" t="str">
        <f>F282 &amp; ", " &amp; '[1]Основной сток'!H279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сток'!J279 &amp; " / RU " &amp;
INDEX('[1]Размерная сетка'!$B$2:$B$40,MATCH('[1]Основной сток'!J279,'[1]Размерная сетка'!$A$2:$A$40,0)) &amp; " / US " &amp;
INDEX('[1]Размерная сетка'!$C$2:$C$40,MATCH('[1]Основной сток'!J279,'[1]Размерная сетка'!$A$2:$A$40,0)) &amp; " / см " &amp;
INDEX('[1]Размерная сетка'!$D$2:$D$40,MATCH('[1]Основной сток'!J279,'[1]Размерная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Caroline Hu X Clot X Samba 'Reverie - Blue Lace Shell', JS2777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82" s="8">
        <f>'[1]Основной сток'!L279</f>
        <v>40000</v>
      </c>
      <c r="I282" s="1" t="str" cm="1">
        <f t="array" ref="I282">VLOOKUP(INDEX('[1]Основной сток'!H:H,ROW()-3),[1]Фотки!A:B,2,FALSE)</f>
        <v>https://i.ibb.co/Q7VdTB6X/1.jpg</v>
      </c>
      <c r="J282" t="s">
        <v>36</v>
      </c>
      <c r="K282" t="s">
        <v>37</v>
      </c>
      <c r="L282" t="str">
        <f t="shared" si="8"/>
        <v>Женская обувь</v>
      </c>
      <c r="M282" t="s">
        <v>38</v>
      </c>
      <c r="N282" t="s">
        <v>39</v>
      </c>
      <c r="O282" t="str">
        <f>PROPER('[1]Основной сток'!F279)</f>
        <v>Adidas</v>
      </c>
      <c r="P282" t="str">
        <f>'[1]Основной сток'!M279</f>
        <v>Синий</v>
      </c>
      <c r="R282" t="s">
        <v>41</v>
      </c>
      <c r="S282" t="s">
        <v>42</v>
      </c>
      <c r="T282" t="str">
        <f t="shared" si="9"/>
        <v>Кроссовки и кеды</v>
      </c>
      <c r="U282">
        <f>'[1]Основной сток'!J279 - 1</f>
        <v>39</v>
      </c>
      <c r="V282" t="s">
        <v>43</v>
      </c>
      <c r="X282" t="s">
        <v>44</v>
      </c>
      <c r="Y282" t="s">
        <v>45</v>
      </c>
    </row>
    <row r="283" spans="1:25" x14ac:dyDescent="0.15">
      <c r="A283" s="6">
        <f>'[1]Основной сток'!A280</f>
        <v>3125994</v>
      </c>
      <c r="B283" t="s">
        <v>33</v>
      </c>
      <c r="D283" t="s">
        <v>34</v>
      </c>
      <c r="E283" t="s">
        <v>35</v>
      </c>
      <c r="F283" s="7" t="str">
        <f>PROPER(LEFT('[1]Основной сток'!I280,FIND(CHAR(10),'[1]Основной сток'!I280&amp;CHAR(10))-1))</f>
        <v>Air Jordan 1 Low Se “Concord” (Gs)</v>
      </c>
      <c r="G283" t="str">
        <f>F283 &amp; ", " &amp; '[1]Основной сток'!H280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сток'!J280 &amp; " / RU " &amp;
INDEX('[1]Размерная сетка'!$B$2:$B$40,MATCH('[1]Основной сток'!J280,'[1]Размерная сетка'!$A$2:$A$40,0)) &amp; " / US " &amp;
INDEX('[1]Размерная сетка'!$C$2:$C$40,MATCH('[1]Основной сток'!J280,'[1]Размерная сетка'!$A$2:$A$40,0)) &amp; " / см " &amp;
INDEX('[1]Размерная сетка'!$D$2:$D$40,MATCH('[1]Основной сток'!J280,'[1]Размерная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Low Se “Concord” (Gs), DV1333-100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83" s="8">
        <f>'[1]Основной сток'!L280</f>
        <v>22000</v>
      </c>
      <c r="I283" s="1" t="str" cm="1">
        <f t="array" ref="I283">VLOOKUP(INDEX('[1]Основной сток'!H:H,ROW()-3),[1]Фотки!A:B,2,FALSE)</f>
        <v>https://i.ibb.co/JjsHCgZ2/1.jpg</v>
      </c>
      <c r="J283" t="s">
        <v>36</v>
      </c>
      <c r="K283" t="s">
        <v>37</v>
      </c>
      <c r="L283" t="str">
        <f t="shared" si="8"/>
        <v>Женская обувь</v>
      </c>
      <c r="M283" t="s">
        <v>38</v>
      </c>
      <c r="N283" t="s">
        <v>39</v>
      </c>
      <c r="O283" t="str">
        <f>PROPER('[1]Основной сток'!F280)</f>
        <v>Jordan</v>
      </c>
      <c r="P283" t="str">
        <f>'[1]Основной сток'!M280</f>
        <v>Черный</v>
      </c>
      <c r="R283" t="s">
        <v>41</v>
      </c>
      <c r="S283" t="s">
        <v>42</v>
      </c>
      <c r="T283" t="str">
        <f t="shared" si="9"/>
        <v>Кроссовки и кеды</v>
      </c>
      <c r="U283">
        <f>'[1]Основной сток'!J280 - 1</f>
        <v>37</v>
      </c>
      <c r="V283" t="s">
        <v>43</v>
      </c>
      <c r="X283" t="s">
        <v>44</v>
      </c>
      <c r="Y283" t="s">
        <v>45</v>
      </c>
    </row>
    <row r="284" spans="1:25" x14ac:dyDescent="0.15">
      <c r="A284" s="6">
        <f>'[1]Основной сток'!A281</f>
        <v>3125995</v>
      </c>
      <c r="B284" t="s">
        <v>33</v>
      </c>
      <c r="D284" t="s">
        <v>34</v>
      </c>
      <c r="E284" t="s">
        <v>35</v>
      </c>
      <c r="F284" s="7" t="str">
        <f>PROPER(LEFT('[1]Основной сток'!I281,FIND(CHAR(10),'[1]Основной сток'!I281&amp;CHAR(10))-1))</f>
        <v>Air Jordan 1 Low Se “Concord” (Gs)</v>
      </c>
      <c r="G284" t="str">
        <f>F284 &amp; ", " &amp; '[1]Основной сток'!H281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сток'!J281 &amp; " / RU " &amp;
INDEX('[1]Размерная сетка'!$B$2:$B$40,MATCH('[1]Основной сток'!J281,'[1]Размерная сетка'!$A$2:$A$40,0)) &amp; " / US " &amp;
INDEX('[1]Размерная сетка'!$C$2:$C$40,MATCH('[1]Основной сток'!J281,'[1]Размерная сетка'!$A$2:$A$40,0)) &amp; " / см " &amp;
INDEX('[1]Размерная сетка'!$D$2:$D$40,MATCH('[1]Основной сток'!J281,'[1]Размерная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Low Se “Concord” (Gs), DV1333-100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84" s="8">
        <f>'[1]Основной сток'!L281</f>
        <v>22000</v>
      </c>
      <c r="I284" s="1" t="str" cm="1">
        <f t="array" ref="I284">VLOOKUP(INDEX('[1]Основной сток'!H:H,ROW()-3),[1]Фотки!A:B,2,FALSE)</f>
        <v>https://i.ibb.co/JjsHCgZ2/1.jpg</v>
      </c>
      <c r="J284" t="s">
        <v>36</v>
      </c>
      <c r="K284" t="s">
        <v>37</v>
      </c>
      <c r="L284" t="str">
        <f t="shared" si="8"/>
        <v>Женская обувь</v>
      </c>
      <c r="M284" t="s">
        <v>38</v>
      </c>
      <c r="N284" t="s">
        <v>39</v>
      </c>
      <c r="O284" t="str">
        <f>PROPER('[1]Основной сток'!F281)</f>
        <v>Jordan</v>
      </c>
      <c r="P284" t="str">
        <f>'[1]Основной сток'!M281</f>
        <v>Черный</v>
      </c>
      <c r="R284" t="s">
        <v>41</v>
      </c>
      <c r="S284" t="s">
        <v>42</v>
      </c>
      <c r="T284" t="str">
        <f t="shared" si="9"/>
        <v>Кроссовки и кеды</v>
      </c>
      <c r="U284">
        <f>'[1]Основной сток'!J281 - 1</f>
        <v>37.5</v>
      </c>
      <c r="V284" t="s">
        <v>43</v>
      </c>
      <c r="X284" t="s">
        <v>44</v>
      </c>
      <c r="Y284" t="s">
        <v>45</v>
      </c>
    </row>
    <row r="285" spans="1:25" x14ac:dyDescent="0.15">
      <c r="A285" s="6">
        <f>'[1]Основной сток'!A282</f>
        <v>3125998</v>
      </c>
      <c r="B285" t="s">
        <v>33</v>
      </c>
      <c r="D285" t="s">
        <v>34</v>
      </c>
      <c r="E285" t="s">
        <v>35</v>
      </c>
      <c r="F285" s="7" t="str">
        <f>PROPER(LEFT('[1]Основной сток'!I282,FIND(CHAR(10),'[1]Основной сток'!I282&amp;CHAR(10))-1))</f>
        <v>Adidas Samba Black And White</v>
      </c>
      <c r="G285" t="str">
        <f>F285 &amp; ", " &amp; '[1]Основной сток'!H282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сток'!J282 &amp; " / RU " &amp;
INDEX('[1]Размерная сетка'!$B$2:$B$40,MATCH('[1]Основной сток'!J282,'[1]Размерная сетка'!$A$2:$A$40,0)) &amp; " / US " &amp;
INDEX('[1]Размерная сетка'!$C$2:$C$40,MATCH('[1]Основной сток'!J282,'[1]Размерная сетка'!$A$2:$A$40,0)) &amp; " / см " &amp;
INDEX('[1]Размерная сетка'!$D$2:$D$40,MATCH('[1]Основной сток'!J282,'[1]Размерная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Black And White, IE5836
• В наличии в Москве
• Оригинал, можно проверить при получении
• Совершенно новые, полный комплект
• Размер: EU 40,5 / RU 39,5 / US 9 / см 25,3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85" s="8">
        <f>'[1]Основной сток'!L282</f>
        <v>19990</v>
      </c>
      <c r="I285" s="1" t="str" cm="1">
        <f t="array" ref="I285">VLOOKUP(INDEX('[1]Основной сток'!H:H,ROW()-3),[1]Фотки!A:B,2,FALSE)</f>
        <v>https://i.ibb.co/pjnKNx17/1.jpg|https://i.ibb.co/cKZ6f140/2.jpg|https://i.ibb.co/MxYxVPx7/3.jpg|https://i.ibb.co/5h2t5jWM/4.jpg</v>
      </c>
      <c r="J285" t="s">
        <v>36</v>
      </c>
      <c r="K285" t="s">
        <v>37</v>
      </c>
      <c r="L285" t="str">
        <f t="shared" si="8"/>
        <v>Женская обувь</v>
      </c>
      <c r="M285" t="s">
        <v>38</v>
      </c>
      <c r="N285" t="s">
        <v>39</v>
      </c>
      <c r="O285" t="str">
        <f>PROPER('[1]Основной сток'!F282)</f>
        <v>Adidas</v>
      </c>
      <c r="P285" t="str">
        <f>'[1]Основной сток'!M282</f>
        <v>Черный</v>
      </c>
      <c r="R285" t="s">
        <v>41</v>
      </c>
      <c r="S285" t="s">
        <v>42</v>
      </c>
      <c r="T285" t="str">
        <f t="shared" si="9"/>
        <v>Кроссовки и кеды</v>
      </c>
      <c r="U285">
        <f>'[1]Основной сток'!J282 - 1</f>
        <v>39.5</v>
      </c>
      <c r="V285" t="s">
        <v>43</v>
      </c>
      <c r="X285" t="s">
        <v>44</v>
      </c>
      <c r="Y285" t="s">
        <v>45</v>
      </c>
    </row>
    <row r="286" spans="1:25" x14ac:dyDescent="0.15">
      <c r="A286" s="6">
        <f>'[1]Основной сток'!A283</f>
        <v>3125999</v>
      </c>
      <c r="B286" t="s">
        <v>33</v>
      </c>
      <c r="D286" t="s">
        <v>34</v>
      </c>
      <c r="E286" t="s">
        <v>35</v>
      </c>
      <c r="F286" s="7" t="str">
        <f>PROPER(LEFT('[1]Основной сток'!I283,FIND(CHAR(10),'[1]Основной сток'!I283&amp;CHAR(10))-1))</f>
        <v>Caroline Hu X Clot X Samba 'Reverie - Pink'</v>
      </c>
      <c r="G286" t="str">
        <f>F286 &amp; ", " &amp; '[1]Основной сток'!H283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сток'!J283 &amp; " / RU " &amp;
INDEX('[1]Размерная сетка'!$B$2:$B$40,MATCH('[1]Основной сток'!J283,'[1]Размерная сетка'!$A$2:$A$40,0)) &amp; " / US " &amp;
INDEX('[1]Размерная сетка'!$C$2:$C$40,MATCH('[1]Основной сток'!J283,'[1]Размерная сетка'!$A$2:$A$40,0)) &amp; " / см " &amp;
INDEX('[1]Размерная сетка'!$D$2:$D$40,MATCH('[1]Основной сток'!J283,'[1]Размерная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Caroline Hu X Clot X Samba 'Reverie - Pink', JQ4747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86" s="8">
        <f>'[1]Основной сток'!L283</f>
        <v>40000</v>
      </c>
      <c r="I286" s="1" t="str" cm="1">
        <f t="array" ref="I286">VLOOKUP(INDEX('[1]Основной сток'!H:H,ROW()-3),[1]Фотки!A:B,2,FALSE)</f>
        <v>https://i.ibb.co/23gLtCvP/1.jpg|https://i.ibb.co/XZZJPKFn/2.jpg|https://i.ibb.co/m5cRfL7p/3.jpg|https://i.ibb.co/VcLyS1Cz/4.jpg</v>
      </c>
      <c r="J286" t="s">
        <v>36</v>
      </c>
      <c r="K286" t="s">
        <v>37</v>
      </c>
      <c r="L286" t="str">
        <f t="shared" si="8"/>
        <v>Женская обувь</v>
      </c>
      <c r="M286" t="s">
        <v>38</v>
      </c>
      <c r="N286" t="s">
        <v>39</v>
      </c>
      <c r="O286" t="str">
        <f>PROPER('[1]Основной сток'!F283)</f>
        <v>Adidas</v>
      </c>
      <c r="P286" t="str">
        <f>'[1]Основной сток'!M283</f>
        <v>Розовый</v>
      </c>
      <c r="R286" t="s">
        <v>41</v>
      </c>
      <c r="S286" t="s">
        <v>42</v>
      </c>
      <c r="T286" t="str">
        <f t="shared" si="9"/>
        <v>Кроссовки и кеды</v>
      </c>
      <c r="U286">
        <f>'[1]Основной сток'!J283 - 1</f>
        <v>39</v>
      </c>
      <c r="V286" t="s">
        <v>43</v>
      </c>
      <c r="X286" t="s">
        <v>44</v>
      </c>
      <c r="Y286" t="s">
        <v>45</v>
      </c>
    </row>
    <row r="287" spans="1:25" x14ac:dyDescent="0.15">
      <c r="A287" s="6">
        <f>'[1]Основной сток'!A284</f>
        <v>3126000</v>
      </c>
      <c r="B287" t="s">
        <v>33</v>
      </c>
      <c r="D287" t="s">
        <v>34</v>
      </c>
      <c r="E287" t="s">
        <v>35</v>
      </c>
      <c r="F287" s="7" t="str">
        <f>PROPER(LEFT('[1]Основной сток'!I284,FIND(CHAR(10),'[1]Основной сток'!I284&amp;CHAR(10))-1))</f>
        <v>Caroline Hu X Clot X Samba 'Reverie - Off White'</v>
      </c>
      <c r="G287" t="str">
        <f>F287 &amp; ", " &amp; '[1]Основной сток'!H284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сток'!J284 &amp; " / RU " &amp;
INDEX('[1]Размерная сетка'!$B$2:$B$40,MATCH('[1]Основной сток'!J284,'[1]Размерная сетка'!$A$2:$A$40,0)) &amp; " / US " &amp;
INDEX('[1]Размерная сетка'!$C$2:$C$40,MATCH('[1]Основной сток'!J284,'[1]Размерная сетка'!$A$2:$A$40,0)) &amp; " / см " &amp;
INDEX('[1]Размерная сетка'!$D$2:$D$40,MATCH('[1]Основной сток'!J284,'[1]Размерная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Caroline Hu X Clot X Samba 'Reverie - Off White', JQ4748
• В наличии в Москве
• Оригинал, можно проверить при получении
• Совершенно новые, полный комплект
• Размер: EU 37 / RU 36 / US 6,5 / см 23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87" s="8">
        <f>'[1]Основной сток'!L284</f>
        <v>40000</v>
      </c>
      <c r="I287" s="1" t="str" cm="1">
        <f t="array" ref="I287">VLOOKUP(INDEX('[1]Основной сток'!H:H,ROW()-3),[1]Фотки!A:B,2,FALSE)</f>
        <v>https://i.ibb.co/B2hTFkq9/1-1.jpg</v>
      </c>
      <c r="J287" t="s">
        <v>36</v>
      </c>
      <c r="K287" t="s">
        <v>37</v>
      </c>
      <c r="L287" t="str">
        <f t="shared" si="8"/>
        <v>Женская обувь</v>
      </c>
      <c r="M287" t="s">
        <v>38</v>
      </c>
      <c r="N287" t="s">
        <v>39</v>
      </c>
      <c r="O287" t="str">
        <f>PROPER('[1]Основной сток'!F284)</f>
        <v>Adidas</v>
      </c>
      <c r="P287" t="str">
        <f>'[1]Основной сток'!M284</f>
        <v>Белый</v>
      </c>
      <c r="R287" t="s">
        <v>41</v>
      </c>
      <c r="S287" t="s">
        <v>42</v>
      </c>
      <c r="T287" t="str">
        <f t="shared" si="9"/>
        <v>Кроссовки и кеды</v>
      </c>
      <c r="U287">
        <f>'[1]Основной сток'!J284 - 1</f>
        <v>36</v>
      </c>
      <c r="V287" t="s">
        <v>43</v>
      </c>
      <c r="X287" t="s">
        <v>44</v>
      </c>
      <c r="Y287" t="s">
        <v>45</v>
      </c>
    </row>
    <row r="288" spans="1:25" x14ac:dyDescent="0.15">
      <c r="A288" s="6">
        <f>'[1]Основной сток'!A285</f>
        <v>3126002</v>
      </c>
      <c r="B288" t="s">
        <v>33</v>
      </c>
      <c r="D288" t="s">
        <v>34</v>
      </c>
      <c r="E288" t="s">
        <v>35</v>
      </c>
      <c r="F288" s="7" t="str">
        <f>PROPER(LEFT('[1]Основной сток'!I285,FIND(CHAR(10),'[1]Основной сток'!I285&amp;CHAR(10))-1))</f>
        <v>Caroline Hu X Clot X Samba 'Reverie - Black Lace Shell'</v>
      </c>
      <c r="G288" t="str">
        <f>F288 &amp; ", " &amp; '[1]Основной сток'!H285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сток'!J285 &amp; " / RU " &amp;
INDEX('[1]Размерная сетка'!$B$2:$B$40,MATCH('[1]Основной сток'!J285,'[1]Размерная сетка'!$A$2:$A$40,0)) &amp; " / US " &amp;
INDEX('[1]Размерная сетка'!$C$2:$C$40,MATCH('[1]Основной сток'!J285,'[1]Размерная сетка'!$A$2:$A$40,0)) &amp; " / см " &amp;
INDEX('[1]Размерная сетка'!$D$2:$D$40,MATCH('[1]Основной сток'!J285,'[1]Размерная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Caroline Hu X Clot X Samba 'Reverie - Black Lace Shell', JS2778
• В наличии в Москве
• Оригинал, можно проверить при получении
• Совершенно новые, полный комплект
• Размер: EU 37 / RU 36 / US 6,5 / см 23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88" s="8">
        <f>'[1]Основной сток'!L285</f>
        <v>40000</v>
      </c>
      <c r="I288" s="1" t="str" cm="1">
        <f t="array" ref="I288">VLOOKUP(INDEX('[1]Основной сток'!H:H,ROW()-3),[1]Фотки!A:B,2,FALSE)</f>
        <v>https://i.ibb.co/tMtjtV34/1-1.jpg</v>
      </c>
      <c r="J288" t="s">
        <v>36</v>
      </c>
      <c r="K288" t="s">
        <v>37</v>
      </c>
      <c r="L288" t="str">
        <f t="shared" si="8"/>
        <v>Женская обувь</v>
      </c>
      <c r="M288" t="s">
        <v>38</v>
      </c>
      <c r="N288" t="s">
        <v>39</v>
      </c>
      <c r="O288" t="str">
        <f>PROPER('[1]Основной сток'!F285)</f>
        <v>Adidas</v>
      </c>
      <c r="P288" t="str">
        <f>'[1]Основной сток'!M285</f>
        <v>Черный</v>
      </c>
      <c r="R288" t="s">
        <v>41</v>
      </c>
      <c r="S288" t="s">
        <v>42</v>
      </c>
      <c r="T288" t="str">
        <f t="shared" si="9"/>
        <v>Кроссовки и кеды</v>
      </c>
      <c r="U288">
        <f>'[1]Основной сток'!J285 - 1</f>
        <v>36</v>
      </c>
      <c r="V288" t="s">
        <v>43</v>
      </c>
      <c r="X288" t="s">
        <v>44</v>
      </c>
      <c r="Y288" t="s">
        <v>45</v>
      </c>
    </row>
    <row r="289" spans="1:25" x14ac:dyDescent="0.15">
      <c r="A289" s="6">
        <f>'[1]Основной сток'!A286</f>
        <v>3126736</v>
      </c>
      <c r="B289" t="s">
        <v>33</v>
      </c>
      <c r="D289" t="s">
        <v>34</v>
      </c>
      <c r="E289" t="s">
        <v>35</v>
      </c>
      <c r="F289" s="7" t="str">
        <f>PROPER(LEFT('[1]Основной сток'!I286,FIND(CHAR(10),'[1]Основной сток'!I286&amp;CHAR(10))-1))</f>
        <v>Cactus Plant Flea Market X Nike Air Force 1 Low</v>
      </c>
      <c r="G289" t="str">
        <f>F289 &amp; ", " &amp; '[1]Основной сток'!H286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сток'!J286 &amp; " / RU " &amp;
INDEX('[1]Размерная сетка'!$B$2:$B$40,MATCH('[1]Основной сток'!J286,'[1]Размерная сетка'!$A$2:$A$40,0)) &amp; " / US " &amp;
INDEX('[1]Размерная сетка'!$C$2:$C$40,MATCH('[1]Основной сток'!J286,'[1]Размерная сетка'!$A$2:$A$40,0)) &amp; " / см " &amp;
INDEX('[1]Размерная сетка'!$D$2:$D$40,MATCH('[1]Основной сток'!J286,'[1]Размерная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Cactus Plant Flea Market X Nike Air Force 1 Low, FQ7069-100
• В наличии в Москве
• Оригинал, можно проверить при получении
• Совершенно новые, полный комплект
• Размер: EU 44 / RU 43 / US 10 / см 27,7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89" s="8">
        <f>'[1]Основной сток'!L286</f>
        <v>76923</v>
      </c>
      <c r="I289" s="1" t="str" cm="1">
        <f t="array" ref="I289">VLOOKUP(INDEX('[1]Основной сток'!H:H,ROW()-3),[1]Фотки!A:B,2,FALSE)</f>
        <v>https://i.ibb.co/V0Gg98xL/1.jpg|https://i.ibb.co/v6hDG9Pj/2.jpg|https://i.ibb.co/ynnC2grt/3.jpg|https://i.ibb.co/C5FCFMj9/4.jpg|https://i.ibb.co/N20pPb5V/5.jpg</v>
      </c>
      <c r="J289" t="s">
        <v>36</v>
      </c>
      <c r="K289" t="s">
        <v>37</v>
      </c>
      <c r="L289" t="str">
        <f t="shared" si="8"/>
        <v>Мужская обувь</v>
      </c>
      <c r="M289" t="s">
        <v>38</v>
      </c>
      <c r="N289" t="s">
        <v>39</v>
      </c>
      <c r="O289" t="str">
        <f>PROPER('[1]Основной сток'!F286)</f>
        <v>Nike</v>
      </c>
      <c r="P289" t="str">
        <f>'[1]Основной сток'!M286</f>
        <v>Белый</v>
      </c>
      <c r="R289" t="s">
        <v>41</v>
      </c>
      <c r="S289" t="s">
        <v>42</v>
      </c>
      <c r="T289" t="str">
        <f t="shared" si="9"/>
        <v>Кроссовки</v>
      </c>
      <c r="U289">
        <f>'[1]Основной сток'!J286 - 1</f>
        <v>43</v>
      </c>
      <c r="V289" t="s">
        <v>43</v>
      </c>
      <c r="X289" t="s">
        <v>44</v>
      </c>
      <c r="Y289" t="s">
        <v>45</v>
      </c>
    </row>
    <row r="290" spans="1:25" x14ac:dyDescent="0.15">
      <c r="A290" s="6">
        <f>'[1]Основной сток'!A287</f>
        <v>3128305</v>
      </c>
      <c r="B290" t="s">
        <v>33</v>
      </c>
      <c r="D290" t="s">
        <v>34</v>
      </c>
      <c r="E290" t="s">
        <v>35</v>
      </c>
      <c r="F290" s="7" t="str">
        <f>PROPER(LEFT('[1]Основной сток'!I287,FIND(CHAR(10),'[1]Основной сток'!I287&amp;CHAR(10))-1))</f>
        <v>Adidas Wmns Samba Og 'Black Embroidered Floral'</v>
      </c>
      <c r="G290" t="str">
        <f>F290 &amp; ", " &amp; '[1]Основной сток'!H287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сток'!J287 &amp; " / RU " &amp;
INDEX('[1]Размерная сетка'!$B$2:$B$40,MATCH('[1]Основной сток'!J287,'[1]Размерная сетка'!$A$2:$A$40,0)) &amp; " / US " &amp;
INDEX('[1]Размерная сетка'!$C$2:$C$40,MATCH('[1]Основной сток'!J287,'[1]Размерная сетка'!$A$2:$A$40,0)) &amp; " / см " &amp;
INDEX('[1]Размерная сетка'!$D$2:$D$40,MATCH('[1]Основной сток'!J287,'[1]Размерная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Wmns Samba Og 'Black Embroidered Floral', IF4397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90" s="8">
        <f>'[1]Основной сток'!L287</f>
        <v>24900</v>
      </c>
      <c r="I290" s="1" t="str" cm="1">
        <f t="array" ref="I290">VLOOKUP(INDEX('[1]Основной сток'!H:H,ROW()-3),[1]Фотки!A:B,2,FALSE)</f>
        <v>https://i.ibb.co/fVy9QwF4/1-1.jpg|https://i.ibb.co/27KTJ6Y5/2.jpg|https://i.ibb.co/ksyknyrL/3.jpg|https://i.ibb.co/rKGsgwg1/4.jpg</v>
      </c>
      <c r="J290" t="s">
        <v>36</v>
      </c>
      <c r="K290" t="s">
        <v>37</v>
      </c>
      <c r="L290" t="str">
        <f t="shared" si="8"/>
        <v>Женская обувь</v>
      </c>
      <c r="M290" t="s">
        <v>38</v>
      </c>
      <c r="N290" t="s">
        <v>39</v>
      </c>
      <c r="O290" t="str">
        <f>PROPER('[1]Основной сток'!F287)</f>
        <v>Adidas</v>
      </c>
      <c r="P290" t="str">
        <f>'[1]Основной сток'!M287</f>
        <v>Черный</v>
      </c>
      <c r="R290" t="s">
        <v>41</v>
      </c>
      <c r="S290" t="s">
        <v>42</v>
      </c>
      <c r="T290" t="str">
        <f t="shared" si="9"/>
        <v>Кроссовки и кеды</v>
      </c>
      <c r="U290">
        <f>'[1]Основной сток'!J287 - 1</f>
        <v>38</v>
      </c>
      <c r="V290" t="s">
        <v>43</v>
      </c>
      <c r="X290" t="s">
        <v>44</v>
      </c>
      <c r="Y290" t="s">
        <v>45</v>
      </c>
    </row>
    <row r="291" spans="1:25" x14ac:dyDescent="0.15">
      <c r="A291" s="6">
        <f>'[1]Основной сток'!A288</f>
        <v>3128306</v>
      </c>
      <c r="B291" t="s">
        <v>33</v>
      </c>
      <c r="D291" t="s">
        <v>34</v>
      </c>
      <c r="E291" t="s">
        <v>35</v>
      </c>
      <c r="F291" s="7" t="str">
        <f>PROPER(LEFT('[1]Основной сток'!I288,FIND(CHAR(10),'[1]Основной сток'!I288&amp;CHAR(10))-1))</f>
        <v>Adidas Wmns Samba Og 'Black Embroidered Floral'</v>
      </c>
      <c r="G291" t="str">
        <f>F291 &amp; ", " &amp; '[1]Основной сток'!H288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сток'!J288 &amp; " / RU " &amp;
INDEX('[1]Размерная сетка'!$B$2:$B$40,MATCH('[1]Основной сток'!J288,'[1]Размерная сетка'!$A$2:$A$40,0)) &amp; " / US " &amp;
INDEX('[1]Размерная сетка'!$C$2:$C$40,MATCH('[1]Основной сток'!J288,'[1]Размерная сетка'!$A$2:$A$40,0)) &amp; " / см " &amp;
INDEX('[1]Размерная сетка'!$D$2:$D$40,MATCH('[1]Основной сток'!J288,'[1]Размерная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Wmns Samba Og 'Black Embroidered Floral', IF4397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91" s="8">
        <f>'[1]Основной сток'!L288</f>
        <v>24900</v>
      </c>
      <c r="I291" s="1" t="str" cm="1">
        <f t="array" ref="I291">VLOOKUP(INDEX('[1]Основной сток'!H:H,ROW()-3),[1]Фотки!A:B,2,FALSE)</f>
        <v>https://i.ibb.co/fVy9QwF4/1-1.jpg|https://i.ibb.co/27KTJ6Y5/2.jpg|https://i.ibb.co/ksyknyrL/3.jpg|https://i.ibb.co/rKGsgwg1/4.jpg</v>
      </c>
      <c r="J291" t="s">
        <v>36</v>
      </c>
      <c r="K291" t="s">
        <v>37</v>
      </c>
      <c r="L291" t="str">
        <f t="shared" si="8"/>
        <v>Женская обувь</v>
      </c>
      <c r="M291" t="s">
        <v>38</v>
      </c>
      <c r="N291" t="s">
        <v>39</v>
      </c>
      <c r="O291" t="str">
        <f>PROPER('[1]Основной сток'!F288)</f>
        <v>Adidas</v>
      </c>
      <c r="P291" t="str">
        <f>'[1]Основной сток'!M288</f>
        <v>Черный</v>
      </c>
      <c r="R291" t="s">
        <v>41</v>
      </c>
      <c r="S291" t="s">
        <v>42</v>
      </c>
      <c r="T291" t="str">
        <f t="shared" si="9"/>
        <v>Кроссовки и кеды</v>
      </c>
      <c r="U291">
        <f>'[1]Основной сток'!J288 - 1</f>
        <v>39</v>
      </c>
      <c r="V291" t="s">
        <v>43</v>
      </c>
      <c r="X291" t="s">
        <v>44</v>
      </c>
      <c r="Y291" t="s">
        <v>45</v>
      </c>
    </row>
    <row r="292" spans="1:25" x14ac:dyDescent="0.15">
      <c r="A292" s="6">
        <f>'[1]Основной сток'!A289</f>
        <v>3128307</v>
      </c>
      <c r="B292" t="s">
        <v>33</v>
      </c>
      <c r="D292" t="s">
        <v>34</v>
      </c>
      <c r="E292" t="s">
        <v>35</v>
      </c>
      <c r="F292" s="7" t="str">
        <f>PROPER(LEFT('[1]Основной сток'!I289,FIND(CHAR(10),'[1]Основной сток'!I289&amp;CHAR(10))-1))</f>
        <v>Adidas Wmns Samba Og 'White Embroidered Floral'</v>
      </c>
      <c r="G292" t="str">
        <f>F292 &amp; ", " &amp; '[1]Основной сток'!H289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сток'!J289 &amp; " / RU " &amp;
INDEX('[1]Размерная сетка'!$B$2:$B$40,MATCH('[1]Основной сток'!J289,'[1]Размерная сетка'!$A$2:$A$40,0)) &amp; " / US " &amp;
INDEX('[1]Размерная сетка'!$C$2:$C$40,MATCH('[1]Основной сток'!J289,'[1]Размерная сетка'!$A$2:$A$40,0)) &amp; " / см " &amp;
INDEX('[1]Размерная сетка'!$D$2:$D$40,MATCH('[1]Основной сток'!J289,'[1]Размерная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Wmns Samba Og 'White Embroidered Floral', IF4398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92" s="8">
        <f>'[1]Основной сток'!L289</f>
        <v>24900</v>
      </c>
      <c r="I292" s="1" t="str" cm="1">
        <f t="array" ref="I292">VLOOKUP(INDEX('[1]Основной сток'!H:H,ROW()-3),[1]Фотки!A:B,2,FALSE)</f>
        <v>https://i.ibb.co/YTqpL08T/1.jpg|https://i.ibb.co/PvBwFn1W/2.jpg|https://i.ibb.co/fYVynz11/3.jpg|https://i.ibb.co/YBhJbhFk/4.jpg</v>
      </c>
      <c r="J292" t="s">
        <v>36</v>
      </c>
      <c r="K292" t="s">
        <v>37</v>
      </c>
      <c r="L292" t="str">
        <f t="shared" si="8"/>
        <v>Женская обувь</v>
      </c>
      <c r="M292" t="s">
        <v>38</v>
      </c>
      <c r="N292" t="s">
        <v>39</v>
      </c>
      <c r="O292" t="str">
        <f>PROPER('[1]Основной сток'!F289)</f>
        <v>Adidas</v>
      </c>
      <c r="P292" t="str">
        <f>'[1]Основной сток'!M289</f>
        <v>Белый</v>
      </c>
      <c r="R292" t="s">
        <v>41</v>
      </c>
      <c r="S292" t="s">
        <v>42</v>
      </c>
      <c r="T292" t="str">
        <f t="shared" si="9"/>
        <v>Кроссовки и кеды</v>
      </c>
      <c r="U292">
        <f>'[1]Основной сток'!J289 - 1</f>
        <v>37</v>
      </c>
      <c r="V292" t="s">
        <v>43</v>
      </c>
      <c r="X292" t="s">
        <v>44</v>
      </c>
      <c r="Y292" t="s">
        <v>45</v>
      </c>
    </row>
    <row r="293" spans="1:25" x14ac:dyDescent="0.15">
      <c r="A293" s="6">
        <f>'[1]Основной сток'!A290</f>
        <v>3128308</v>
      </c>
      <c r="B293" t="s">
        <v>33</v>
      </c>
      <c r="D293" t="s">
        <v>34</v>
      </c>
      <c r="E293" t="s">
        <v>35</v>
      </c>
      <c r="F293" s="7" t="str">
        <f>PROPER(LEFT('[1]Основной сток'!I290,FIND(CHAR(10),'[1]Основной сток'!I290&amp;CHAR(10))-1))</f>
        <v>Adidas Wmns Samba Og 'White Embroidered Floral'</v>
      </c>
      <c r="G293" t="str">
        <f>F293 &amp; ", " &amp; '[1]Основной сток'!H290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сток'!J290 &amp; " / RU " &amp;
INDEX('[1]Размерная сетка'!$B$2:$B$40,MATCH('[1]Основной сток'!J290,'[1]Размерная сетка'!$A$2:$A$40,0)) &amp; " / US " &amp;
INDEX('[1]Размерная сетка'!$C$2:$C$40,MATCH('[1]Основной сток'!J290,'[1]Размерная сетка'!$A$2:$A$40,0)) &amp; " / см " &amp;
INDEX('[1]Размерная сетка'!$D$2:$D$40,MATCH('[1]Основной сток'!J290,'[1]Размерная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Wmns Samba Og 'White Embroidered Floral', IF4398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93" s="8">
        <f>'[1]Основной сток'!L290</f>
        <v>24900</v>
      </c>
      <c r="I293" s="1" t="str" cm="1">
        <f t="array" ref="I293">VLOOKUP(INDEX('[1]Основной сток'!H:H,ROW()-3),[1]Фотки!A:B,2,FALSE)</f>
        <v>https://i.ibb.co/YTqpL08T/1.jpg|https://i.ibb.co/PvBwFn1W/2.jpg|https://i.ibb.co/fYVynz11/3.jpg|https://i.ibb.co/YBhJbhFk/4.jpg</v>
      </c>
      <c r="J293" t="s">
        <v>36</v>
      </c>
      <c r="K293" t="s">
        <v>37</v>
      </c>
      <c r="L293" t="str">
        <f t="shared" si="8"/>
        <v>Женская обувь</v>
      </c>
      <c r="M293" t="s">
        <v>38</v>
      </c>
      <c r="N293" t="s">
        <v>39</v>
      </c>
      <c r="O293" t="str">
        <f>PROPER('[1]Основной сток'!F290)</f>
        <v>Adidas</v>
      </c>
      <c r="P293" t="str">
        <f>'[1]Основной сток'!M290</f>
        <v>Белый</v>
      </c>
      <c r="R293" t="s">
        <v>41</v>
      </c>
      <c r="S293" t="s">
        <v>42</v>
      </c>
      <c r="T293" t="str">
        <f t="shared" si="9"/>
        <v>Кроссовки и кеды</v>
      </c>
      <c r="U293">
        <f>'[1]Основной сток'!J290 - 1</f>
        <v>37.5</v>
      </c>
      <c r="V293" t="s">
        <v>43</v>
      </c>
      <c r="X293" t="s">
        <v>44</v>
      </c>
      <c r="Y293" t="s">
        <v>45</v>
      </c>
    </row>
    <row r="294" spans="1:25" x14ac:dyDescent="0.15">
      <c r="A294" s="6">
        <f>'[1]Основной сток'!A291</f>
        <v>3128310</v>
      </c>
      <c r="B294" t="s">
        <v>33</v>
      </c>
      <c r="D294" t="s">
        <v>34</v>
      </c>
      <c r="E294" t="s">
        <v>35</v>
      </c>
      <c r="F294" s="7" t="str">
        <f>PROPER(LEFT('[1]Основной сток'!I291,FIND(CHAR(10),'[1]Основной сток'!I291&amp;CHAR(10))-1))</f>
        <v>Adidas Wmns Samba Og 'White Embroidered Floral'</v>
      </c>
      <c r="G294" t="str">
        <f>F294 &amp; ", " &amp; '[1]Основной сток'!H291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сток'!J291 &amp; " / RU " &amp;
INDEX('[1]Размерная сетка'!$B$2:$B$40,MATCH('[1]Основной сток'!J291,'[1]Размерная сетка'!$A$2:$A$40,0)) &amp; " / US " &amp;
INDEX('[1]Размерная сетка'!$C$2:$C$40,MATCH('[1]Основной сток'!J291,'[1]Размерная сетка'!$A$2:$A$40,0)) &amp; " / см " &amp;
INDEX('[1]Размерная сетка'!$D$2:$D$40,MATCH('[1]Основной сток'!J291,'[1]Размерная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Wmns Samba Og 'White Embroidered Floral', IF4398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94" s="8">
        <f>'[1]Основной сток'!L291</f>
        <v>24900</v>
      </c>
      <c r="I294" s="1" t="str" cm="1">
        <f t="array" ref="I294">VLOOKUP(INDEX('[1]Основной сток'!H:H,ROW()-3),[1]Фотки!A:B,2,FALSE)</f>
        <v>https://i.ibb.co/YTqpL08T/1.jpg|https://i.ibb.co/PvBwFn1W/2.jpg|https://i.ibb.co/fYVynz11/3.jpg|https://i.ibb.co/YBhJbhFk/4.jpg</v>
      </c>
      <c r="J294" t="s">
        <v>36</v>
      </c>
      <c r="K294" t="s">
        <v>37</v>
      </c>
      <c r="L294" t="str">
        <f t="shared" si="8"/>
        <v>Женская обувь</v>
      </c>
      <c r="M294" t="s">
        <v>38</v>
      </c>
      <c r="N294" t="s">
        <v>39</v>
      </c>
      <c r="O294" t="str">
        <f>PROPER('[1]Основной сток'!F291)</f>
        <v>Adidas</v>
      </c>
      <c r="P294" t="str">
        <f>'[1]Основной сток'!M291</f>
        <v>Белый</v>
      </c>
      <c r="R294" t="s">
        <v>41</v>
      </c>
      <c r="S294" t="s">
        <v>42</v>
      </c>
      <c r="T294" t="str">
        <f t="shared" si="9"/>
        <v>Кроссовки и кеды</v>
      </c>
      <c r="U294">
        <f>'[1]Основной сток'!J291 - 1</f>
        <v>39</v>
      </c>
      <c r="V294" t="s">
        <v>43</v>
      </c>
      <c r="X294" t="s">
        <v>44</v>
      </c>
      <c r="Y294" t="s">
        <v>45</v>
      </c>
    </row>
    <row r="295" spans="1:25" x14ac:dyDescent="0.15">
      <c r="A295" s="6">
        <f>'[1]Основной сток'!A292</f>
        <v>3128312</v>
      </c>
      <c r="B295" t="s">
        <v>33</v>
      </c>
      <c r="D295" t="s">
        <v>34</v>
      </c>
      <c r="E295" t="s">
        <v>35</v>
      </c>
      <c r="F295" s="7" t="str">
        <f>PROPER(LEFT('[1]Основной сток'!I292,FIND(CHAR(10),'[1]Основной сток'!I292&amp;CHAR(10))-1))</f>
        <v>Nike Dunk Low Premium Sb 'City Of Style Pack'</v>
      </c>
      <c r="G295" t="str">
        <f>F295 &amp; ", " &amp; '[1]Основной сток'!H292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сток'!J292 &amp; " / RU " &amp;
INDEX('[1]Размерная сетка'!$B$2:$B$40,MATCH('[1]Основной сток'!J292,'[1]Размерная сетка'!$A$2:$A$40,0)) &amp; " / US " &amp;
INDEX('[1]Размерная сетка'!$C$2:$C$40,MATCH('[1]Основной сток'!J292,'[1]Размерная сетка'!$A$2:$A$40,0)) &amp; " / см " &amp;
INDEX('[1]Размерная сетка'!$D$2:$D$40,MATCH('[1]Основной сток'!J292,'[1]Размерная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Dunk Low Premium Sb 'City Of Style Pack', FN5880-001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95" s="8">
        <f>'[1]Основной сток'!L292</f>
        <v>22000</v>
      </c>
      <c r="I295" s="1" t="str" cm="1">
        <f t="array" ref="I295">VLOOKUP(INDEX('[1]Основной сток'!H:H,ROW()-3),[1]Фотки!A:B,2,FALSE)</f>
        <v>https://i.ibb.co/zWKTMmcK/1-1.jpg</v>
      </c>
      <c r="J295" t="s">
        <v>36</v>
      </c>
      <c r="K295" t="s">
        <v>37</v>
      </c>
      <c r="L295" t="str">
        <f t="shared" si="8"/>
        <v>Женская обувь</v>
      </c>
      <c r="M295" t="s">
        <v>38</v>
      </c>
      <c r="N295" t="s">
        <v>39</v>
      </c>
      <c r="O295" t="str">
        <f>PROPER('[1]Основной сток'!F292)</f>
        <v>Nike</v>
      </c>
      <c r="P295" t="str">
        <f>'[1]Основной сток'!M292</f>
        <v>Фиолетовый</v>
      </c>
      <c r="R295" t="s">
        <v>41</v>
      </c>
      <c r="S295" t="s">
        <v>42</v>
      </c>
      <c r="T295" t="str">
        <f t="shared" si="9"/>
        <v>Кроссовки и кеды</v>
      </c>
      <c r="U295">
        <f>'[1]Основной сток'!J292 - 1</f>
        <v>38</v>
      </c>
      <c r="V295" t="s">
        <v>43</v>
      </c>
      <c r="X295" t="s">
        <v>44</v>
      </c>
      <c r="Y295" t="s">
        <v>45</v>
      </c>
    </row>
    <row r="296" spans="1:25" x14ac:dyDescent="0.15">
      <c r="A296" s="6">
        <f>'[1]Основной сток'!A293</f>
        <v>3133302</v>
      </c>
      <c r="B296" t="s">
        <v>33</v>
      </c>
      <c r="D296" t="s">
        <v>34</v>
      </c>
      <c r="E296" t="s">
        <v>35</v>
      </c>
      <c r="F296" s="7" t="str">
        <f>PROPER(LEFT('[1]Основной сток'!I293,FIND(CHAR(10),'[1]Основной сток'!I293&amp;CHAR(10))-1))</f>
        <v>New Balance 9060 'Rain Cloud'</v>
      </c>
      <c r="G296" t="str">
        <f>F296 &amp; ", " &amp; '[1]Основной сток'!H293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сток'!J293 &amp; " / RU " &amp;
INDEX('[1]Размерная сетка'!$B$2:$B$40,MATCH('[1]Основной сток'!J293,'[1]Размерная сетка'!$A$2:$A$40,0)) &amp; " / US " &amp;
INDEX('[1]Размерная сетка'!$C$2:$C$40,MATCH('[1]Основной сток'!J293,'[1]Размерная сетка'!$A$2:$A$40,0)) &amp; " / см " &amp;
INDEX('[1]Размерная сетка'!$D$2:$D$40,MATCH('[1]Основной сток'!J293,'[1]Размерная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9060 'Rain Cloud', U9060GRY
• В наличии в Москве
• Оригинал, можно проверить при получении
• Совершенно новые, полный комплект
• Размер: EU 37,5 / RU 36,5 / US 6,5-7 / см 23,3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96" s="8">
        <f>'[1]Основной сток'!L293</f>
        <v>22000</v>
      </c>
      <c r="I296" s="1" t="str" cm="1">
        <f t="array" ref="I296">VLOOKUP(INDEX('[1]Основной сток'!H:H,ROW()-3),[1]Фотки!A:B,2,FALSE)</f>
        <v>https://i.ibb.co/gFvNWGbk/1.jpg|https://i.ibb.co/xqNfPWM0/2.jpg|https://i.ibb.co/zVK4PQcB/3.jpg|https://i.ibb.co/nsNvRKLG/4.jpg</v>
      </c>
      <c r="J296" t="s">
        <v>36</v>
      </c>
      <c r="K296" t="s">
        <v>37</v>
      </c>
      <c r="L296" t="str">
        <f t="shared" si="8"/>
        <v>Женская обувь</v>
      </c>
      <c r="M296" t="s">
        <v>38</v>
      </c>
      <c r="N296" t="s">
        <v>39</v>
      </c>
      <c r="O296" t="str">
        <f>PROPER('[1]Основной сток'!F293)</f>
        <v>New Balance</v>
      </c>
      <c r="P296" t="str">
        <f>'[1]Основной сток'!M293</f>
        <v>Серый</v>
      </c>
      <c r="R296" t="s">
        <v>41</v>
      </c>
      <c r="S296" t="s">
        <v>42</v>
      </c>
      <c r="T296" t="str">
        <f t="shared" si="9"/>
        <v>Кроссовки и кеды</v>
      </c>
      <c r="U296">
        <f>'[1]Основной сток'!J293 - 1</f>
        <v>36.5</v>
      </c>
      <c r="V296" t="s">
        <v>43</v>
      </c>
      <c r="X296" t="s">
        <v>44</v>
      </c>
      <c r="Y296" t="s">
        <v>45</v>
      </c>
    </row>
    <row r="297" spans="1:25" x14ac:dyDescent="0.15">
      <c r="A297" s="6">
        <f>'[1]Основной сток'!A294</f>
        <v>3134530</v>
      </c>
      <c r="B297" t="s">
        <v>33</v>
      </c>
      <c r="D297" t="s">
        <v>34</v>
      </c>
      <c r="E297" t="s">
        <v>35</v>
      </c>
      <c r="F297" s="7" t="str">
        <f>PROPER(LEFT('[1]Основной сток'!I294,FIND(CHAR(10),'[1]Основной сток'!I294&amp;CHAR(10))-1))</f>
        <v>Adidas Wmns Gazelle Indoor 'Sandy Pink Gum'</v>
      </c>
      <c r="G297" t="str">
        <f>F297 &amp; ", " &amp; '[1]Основной сток'!H294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сток'!J294 &amp; " / RU " &amp;
INDEX('[1]Размерная сетка'!$B$2:$B$40,MATCH('[1]Основной сток'!J294,'[1]Размерная сетка'!$A$2:$A$40,0)) &amp; " / US " &amp;
INDEX('[1]Размерная сетка'!$C$2:$C$40,MATCH('[1]Основной сток'!J294,'[1]Размерная сетка'!$A$2:$A$40,0)) &amp; " / см " &amp;
INDEX('[1]Размерная сетка'!$D$2:$D$40,MATCH('[1]Основной сток'!J294,'[1]Размерная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Wmns Gazelle Indoor 'Sandy Pink Gum', IH5484
• В наличии в Москве
• Оригинал, можно проверить при получении
• Совершенно новые, полный комплект
• Размер: EU 37 / RU 36 / US 6,5 / см 23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97" s="8">
        <f>'[1]Основной сток'!L294</f>
        <v>19900</v>
      </c>
      <c r="I297" s="1" t="str" cm="1">
        <f t="array" ref="I297">VLOOKUP(INDEX('[1]Основной сток'!H:H,ROW()-3),[1]Фотки!A:B,2,FALSE)</f>
        <v>https://i.ibb.co/h1tyYMss/1-1.jpg|https://i.ibb.co/RkL9hGGS/2.jpg|https://i.ibb.co/VY8L8DHN/3.jpg|https://i.ibb.co/mfcGYxK/4.jpg</v>
      </c>
      <c r="J297" t="s">
        <v>36</v>
      </c>
      <c r="K297" t="s">
        <v>37</v>
      </c>
      <c r="L297" t="str">
        <f t="shared" si="8"/>
        <v>Женская обувь</v>
      </c>
      <c r="M297" t="s">
        <v>38</v>
      </c>
      <c r="N297" t="s">
        <v>39</v>
      </c>
      <c r="O297" t="str">
        <f>PROPER('[1]Основной сток'!F294)</f>
        <v>Adidas</v>
      </c>
      <c r="P297" t="str">
        <f>'[1]Основной сток'!M294</f>
        <v>Розовый</v>
      </c>
      <c r="R297" t="s">
        <v>41</v>
      </c>
      <c r="S297" t="s">
        <v>42</v>
      </c>
      <c r="T297" t="str">
        <f t="shared" si="9"/>
        <v>Кроссовки и кеды</v>
      </c>
      <c r="U297">
        <f>'[1]Основной сток'!J294 - 1</f>
        <v>36</v>
      </c>
      <c r="V297" t="s">
        <v>43</v>
      </c>
      <c r="X297" t="s">
        <v>44</v>
      </c>
      <c r="Y297" t="s">
        <v>45</v>
      </c>
    </row>
    <row r="298" spans="1:25" x14ac:dyDescent="0.15">
      <c r="A298" s="6">
        <f>'[1]Основной сток'!A295</f>
        <v>3134531</v>
      </c>
      <c r="B298" t="s">
        <v>33</v>
      </c>
      <c r="D298" t="s">
        <v>34</v>
      </c>
      <c r="E298" t="s">
        <v>35</v>
      </c>
      <c r="F298" s="7" t="str">
        <f>PROPER(LEFT('[1]Основной сток'!I295,FIND(CHAR(10),'[1]Основной сток'!I295&amp;CHAR(10))-1))</f>
        <v>Adidas Wmns Gazelle Indoor 'Sandy Pink Gum'</v>
      </c>
      <c r="G298" t="str">
        <f>F298 &amp; ", " &amp; '[1]Основной сток'!H295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сток'!J295 &amp; " / RU " &amp;
INDEX('[1]Размерная сетка'!$B$2:$B$40,MATCH('[1]Основной сток'!J295,'[1]Размерная сетка'!$A$2:$A$40,0)) &amp; " / US " &amp;
INDEX('[1]Размерная сетка'!$C$2:$C$40,MATCH('[1]Основной сток'!J295,'[1]Размерная сетка'!$A$2:$A$40,0)) &amp; " / см " &amp;
INDEX('[1]Размерная сетка'!$D$2:$D$40,MATCH('[1]Основной сток'!J295,'[1]Размерная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Wmns Gazelle Indoor 'Sandy Pink Gum', IH5484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98" s="8">
        <f>'[1]Основной сток'!L295</f>
        <v>19900</v>
      </c>
      <c r="I298" s="1" t="str" cm="1">
        <f t="array" ref="I298">VLOOKUP(INDEX('[1]Основной сток'!H:H,ROW()-3),[1]Фотки!A:B,2,FALSE)</f>
        <v>https://i.ibb.co/h1tyYMss/1-1.jpg|https://i.ibb.co/RkL9hGGS/2.jpg|https://i.ibb.co/VY8L8DHN/3.jpg|https://i.ibb.co/mfcGYxK/4.jpg</v>
      </c>
      <c r="J298" t="s">
        <v>36</v>
      </c>
      <c r="K298" t="s">
        <v>37</v>
      </c>
      <c r="L298" t="str">
        <f t="shared" si="8"/>
        <v>Женская обувь</v>
      </c>
      <c r="M298" t="s">
        <v>38</v>
      </c>
      <c r="N298" t="s">
        <v>39</v>
      </c>
      <c r="O298" t="str">
        <f>PROPER('[1]Основной сток'!F295)</f>
        <v>Adidas</v>
      </c>
      <c r="P298" t="str">
        <f>'[1]Основной сток'!M295</f>
        <v>Розовый</v>
      </c>
      <c r="R298" t="s">
        <v>41</v>
      </c>
      <c r="S298" t="s">
        <v>42</v>
      </c>
      <c r="T298" t="str">
        <f t="shared" si="9"/>
        <v>Кроссовки и кеды</v>
      </c>
      <c r="U298">
        <f>'[1]Основной сток'!J295 - 1</f>
        <v>37</v>
      </c>
      <c r="V298" t="s">
        <v>43</v>
      </c>
      <c r="X298" t="s">
        <v>44</v>
      </c>
      <c r="Y298" t="s">
        <v>45</v>
      </c>
    </row>
    <row r="299" spans="1:25" x14ac:dyDescent="0.15">
      <c r="A299" s="6">
        <f>'[1]Основной сток'!A296</f>
        <v>3134532</v>
      </c>
      <c r="B299" t="s">
        <v>33</v>
      </c>
      <c r="D299" t="s">
        <v>34</v>
      </c>
      <c r="E299" t="s">
        <v>35</v>
      </c>
      <c r="F299" s="7" t="str">
        <f>PROPER(LEFT('[1]Основной сток'!I296,FIND(CHAR(10),'[1]Основной сток'!I296&amp;CHAR(10))-1))</f>
        <v>Adidas Wmns Gazelle Indoor 'Sandy Pink Gum'</v>
      </c>
      <c r="G299" t="str">
        <f>F299 &amp; ", " &amp; '[1]Основной сток'!H296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сток'!J296 &amp; " / RU " &amp;
INDEX('[1]Размерная сетка'!$B$2:$B$40,MATCH('[1]Основной сток'!J296,'[1]Размерная сетка'!$A$2:$A$40,0)) &amp; " / US " &amp;
INDEX('[1]Размерная сетка'!$C$2:$C$40,MATCH('[1]Основной сток'!J296,'[1]Размерная сетка'!$A$2:$A$40,0)) &amp; " / см " &amp;
INDEX('[1]Размерная сетка'!$D$2:$D$40,MATCH('[1]Основной сток'!J296,'[1]Размерная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Wmns Gazelle Indoor 'Sandy Pink Gum', IH5484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299" s="8">
        <f>'[1]Основной сток'!L296</f>
        <v>19900</v>
      </c>
      <c r="I299" s="1" t="str" cm="1">
        <f t="array" ref="I299">VLOOKUP(INDEX('[1]Основной сток'!H:H,ROW()-3),[1]Фотки!A:B,2,FALSE)</f>
        <v>https://i.ibb.co/h1tyYMss/1-1.jpg|https://i.ibb.co/RkL9hGGS/2.jpg|https://i.ibb.co/VY8L8DHN/3.jpg|https://i.ibb.co/mfcGYxK/4.jpg</v>
      </c>
      <c r="J299" t="s">
        <v>36</v>
      </c>
      <c r="K299" t="s">
        <v>37</v>
      </c>
      <c r="L299" t="str">
        <f t="shared" si="8"/>
        <v>Женская обувь</v>
      </c>
      <c r="M299" t="s">
        <v>38</v>
      </c>
      <c r="N299" t="s">
        <v>39</v>
      </c>
      <c r="O299" t="str">
        <f>PROPER('[1]Основной сток'!F296)</f>
        <v>Adidas</v>
      </c>
      <c r="P299" t="str">
        <f>'[1]Основной сток'!M296</f>
        <v>Розовый</v>
      </c>
      <c r="R299" t="s">
        <v>41</v>
      </c>
      <c r="S299" t="s">
        <v>42</v>
      </c>
      <c r="T299" t="str">
        <f t="shared" si="9"/>
        <v>Кроссовки и кеды</v>
      </c>
      <c r="U299">
        <f>'[1]Основной сток'!J296 - 1</f>
        <v>37.5</v>
      </c>
      <c r="V299" t="s">
        <v>43</v>
      </c>
      <c r="X299" t="s">
        <v>44</v>
      </c>
      <c r="Y299" t="s">
        <v>45</v>
      </c>
    </row>
    <row r="300" spans="1:25" x14ac:dyDescent="0.15">
      <c r="A300" s="6">
        <f>'[1]Основной сток'!A297</f>
        <v>3134534</v>
      </c>
      <c r="B300" t="s">
        <v>33</v>
      </c>
      <c r="D300" t="s">
        <v>34</v>
      </c>
      <c r="E300" t="s">
        <v>35</v>
      </c>
      <c r="F300" s="7" t="str">
        <f>PROPER(LEFT('[1]Основной сток'!I297,FIND(CHAR(10),'[1]Основной сток'!I297&amp;CHAR(10))-1))</f>
        <v>Adidas Wmns Gazelle Indoor 'Sandy Pink Gum'</v>
      </c>
      <c r="G300" t="str">
        <f>F300 &amp; ", " &amp; '[1]Основной сток'!H297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сток'!J297 &amp; " / RU " &amp;
INDEX('[1]Размерная сетка'!$B$2:$B$40,MATCH('[1]Основной сток'!J297,'[1]Размерная сетка'!$A$2:$A$40,0)) &amp; " / US " &amp;
INDEX('[1]Размерная сетка'!$C$2:$C$40,MATCH('[1]Основной сток'!J297,'[1]Размерная сетка'!$A$2:$A$40,0)) &amp; " / см " &amp;
INDEX('[1]Размерная сетка'!$D$2:$D$40,MATCH('[1]Основной сток'!J297,'[1]Размерная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Wmns Gazelle Indoor 'Sandy Pink Gum', IH5484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00" s="8">
        <f>'[1]Основной сток'!L297</f>
        <v>19900</v>
      </c>
      <c r="I300" s="1" t="str" cm="1">
        <f t="array" ref="I300">VLOOKUP(INDEX('[1]Основной сток'!H:H,ROW()-3),[1]Фотки!A:B,2,FALSE)</f>
        <v>https://i.ibb.co/h1tyYMss/1-1.jpg|https://i.ibb.co/RkL9hGGS/2.jpg|https://i.ibb.co/VY8L8DHN/3.jpg|https://i.ibb.co/mfcGYxK/4.jpg</v>
      </c>
      <c r="J300" t="s">
        <v>36</v>
      </c>
      <c r="K300" t="s">
        <v>37</v>
      </c>
      <c r="L300" t="str">
        <f t="shared" si="8"/>
        <v>Женская обувь</v>
      </c>
      <c r="M300" t="s">
        <v>38</v>
      </c>
      <c r="N300" t="s">
        <v>39</v>
      </c>
      <c r="O300" t="str">
        <f>PROPER('[1]Основной сток'!F297)</f>
        <v>Adidas</v>
      </c>
      <c r="P300" t="str">
        <f>'[1]Основной сток'!M297</f>
        <v>Розовый</v>
      </c>
      <c r="R300" t="s">
        <v>41</v>
      </c>
      <c r="S300" t="s">
        <v>42</v>
      </c>
      <c r="T300" t="str">
        <f t="shared" si="9"/>
        <v>Кроссовки и кеды</v>
      </c>
      <c r="U300">
        <f>'[1]Основной сток'!J297 - 1</f>
        <v>39</v>
      </c>
      <c r="V300" t="s">
        <v>43</v>
      </c>
      <c r="X300" t="s">
        <v>44</v>
      </c>
      <c r="Y300" t="s">
        <v>45</v>
      </c>
    </row>
    <row r="301" spans="1:25" x14ac:dyDescent="0.15">
      <c r="A301" s="6">
        <f>'[1]Основной сток'!A298</f>
        <v>3134539</v>
      </c>
      <c r="B301" t="s">
        <v>33</v>
      </c>
      <c r="D301" t="s">
        <v>34</v>
      </c>
      <c r="E301" t="s">
        <v>35</v>
      </c>
      <c r="F301" s="7" t="str">
        <f>PROPER(LEFT('[1]Основной сток'!I298,FIND(CHAR(10),'[1]Основной сток'!I298&amp;CHAR(10))-1))</f>
        <v>Jordan 1 Retro Low Og 'Barons'</v>
      </c>
      <c r="G301" t="str">
        <f>F301 &amp; ", " &amp; '[1]Основной сток'!H298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сток'!J298 &amp; " / RU " &amp;
INDEX('[1]Размерная сетка'!$B$2:$B$40,MATCH('[1]Основной сток'!J298,'[1]Размерная сетка'!$A$2:$A$40,0)) &amp; " / US " &amp;
INDEX('[1]Размерная сетка'!$C$2:$C$40,MATCH('[1]Основной сток'!J298,'[1]Размерная сетка'!$A$2:$A$40,0)) &amp; " / см " &amp;
INDEX('[1]Размерная сетка'!$D$2:$D$40,MATCH('[1]Основной сток'!J298,'[1]Размерная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Retro Low Og 'Barons', CZ0790-110
• В наличии в Москве
• Оригинал, можно проверить при получении
• Совершенно новые, полный комплект
• Размер: EU 45 / RU 44 / US 11 / см 28,3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01" s="8">
        <f>'[1]Основной сток'!L298</f>
        <v>22000</v>
      </c>
      <c r="I301" s="1" t="str" cm="1">
        <f t="array" ref="I301">VLOOKUP(INDEX('[1]Основной сток'!H:H,ROW()-3),[1]Фотки!A:B,2,FALSE)</f>
        <v>https://i.ibb.co/93bLDfjN/1.jpg|https://i.ibb.co/wfv4pTf/2.jpg|https://i.ibb.co/F4DKTYJh/3.jpg|https://i.ibb.co/gb5WM64D/4.jpg</v>
      </c>
      <c r="J301" t="s">
        <v>36</v>
      </c>
      <c r="K301" t="s">
        <v>37</v>
      </c>
      <c r="L301" t="str">
        <f t="shared" si="8"/>
        <v>Мужская обувь</v>
      </c>
      <c r="M301" t="s">
        <v>38</v>
      </c>
      <c r="N301" t="s">
        <v>39</v>
      </c>
      <c r="O301" t="str">
        <f>PROPER('[1]Основной сток'!F298)</f>
        <v>Jordan</v>
      </c>
      <c r="P301" t="str">
        <f>'[1]Основной сток'!M298</f>
        <v>Серый</v>
      </c>
      <c r="R301" t="s">
        <v>41</v>
      </c>
      <c r="S301" t="s">
        <v>42</v>
      </c>
      <c r="T301" t="str">
        <f t="shared" si="9"/>
        <v>Кроссовки</v>
      </c>
      <c r="U301">
        <f>'[1]Основной сток'!J298 - 1</f>
        <v>44</v>
      </c>
      <c r="V301" t="s">
        <v>43</v>
      </c>
      <c r="X301" t="s">
        <v>44</v>
      </c>
      <c r="Y301" t="s">
        <v>45</v>
      </c>
    </row>
    <row r="302" spans="1:25" x14ac:dyDescent="0.15">
      <c r="A302" s="6">
        <f>'[1]Основной сток'!A299</f>
        <v>3136373</v>
      </c>
      <c r="B302" t="s">
        <v>33</v>
      </c>
      <c r="D302" t="s">
        <v>34</v>
      </c>
      <c r="E302" t="s">
        <v>35</v>
      </c>
      <c r="F302" s="7" t="str">
        <f>PROPER(LEFT('[1]Основной сток'!I299,FIND(CHAR(10),'[1]Основной сток'!I299&amp;CHAR(10))-1))</f>
        <v>Caroline Hu X Clot X Samba 'Reverie - Blue Lace Shell'</v>
      </c>
      <c r="G302" t="str">
        <f>F302 &amp; ", " &amp; '[1]Основной сток'!H299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сток'!J299 &amp; " / RU " &amp;
INDEX('[1]Размерная сетка'!$B$2:$B$40,MATCH('[1]Основной сток'!J299,'[1]Размерная сетка'!$A$2:$A$40,0)) &amp; " / US " &amp;
INDEX('[1]Размерная сетка'!$C$2:$C$40,MATCH('[1]Основной сток'!J299,'[1]Размерная сетка'!$A$2:$A$40,0)) &amp; " / см " &amp;
INDEX('[1]Размерная сетка'!$D$2:$D$40,MATCH('[1]Основной сток'!J299,'[1]Размерная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Caroline Hu X Clot X Samba 'Reverie - Blue Lace Shell', JS2777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02" s="8">
        <f>'[1]Основной сток'!L299</f>
        <v>40000</v>
      </c>
      <c r="I302" s="1" t="str" cm="1">
        <f t="array" ref="I302">VLOOKUP(INDEX('[1]Основной сток'!H:H,ROW()-3),[1]Фотки!A:B,2,FALSE)</f>
        <v>https://i.ibb.co/Q7VdTB6X/1.jpg</v>
      </c>
      <c r="J302" t="s">
        <v>36</v>
      </c>
      <c r="K302" t="s">
        <v>37</v>
      </c>
      <c r="L302" t="str">
        <f t="shared" si="8"/>
        <v>Женская обувь</v>
      </c>
      <c r="M302" t="s">
        <v>38</v>
      </c>
      <c r="N302" t="s">
        <v>39</v>
      </c>
      <c r="O302" t="str">
        <f>PROPER('[1]Основной сток'!F299)</f>
        <v>Adidas</v>
      </c>
      <c r="P302" t="str">
        <f>'[1]Основной сток'!M299</f>
        <v>Синий</v>
      </c>
      <c r="R302" t="s">
        <v>41</v>
      </c>
      <c r="S302" t="s">
        <v>42</v>
      </c>
      <c r="T302" t="str">
        <f t="shared" si="9"/>
        <v>Кроссовки и кеды</v>
      </c>
      <c r="U302">
        <f>'[1]Основной сток'!J299 - 1</f>
        <v>39</v>
      </c>
      <c r="V302" t="s">
        <v>43</v>
      </c>
      <c r="X302" t="s">
        <v>44</v>
      </c>
      <c r="Y302" t="s">
        <v>45</v>
      </c>
    </row>
    <row r="303" spans="1:25" x14ac:dyDescent="0.15">
      <c r="A303" s="6">
        <f>'[1]Основной сток'!A300</f>
        <v>3137662</v>
      </c>
      <c r="B303" t="s">
        <v>33</v>
      </c>
      <c r="D303" t="s">
        <v>34</v>
      </c>
      <c r="E303" t="s">
        <v>35</v>
      </c>
      <c r="F303" s="7" t="str">
        <f>PROPER(LEFT('[1]Основной сток'!I300,FIND(CHAR(10),'[1]Основной сток'!I300&amp;CHAR(10))-1))</f>
        <v>Adidas Gazelle Indoor Light Blue Floral</v>
      </c>
      <c r="G303" t="str">
        <f>F303 &amp; ", " &amp; '[1]Основной сток'!H300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сток'!J300 &amp; " / RU " &amp;
INDEX('[1]Размерная сетка'!$B$2:$B$40,MATCH('[1]Основной сток'!J300,'[1]Размерная сетка'!$A$2:$A$40,0)) &amp; " / US " &amp;
INDEX('[1]Размерная сетка'!$C$2:$C$40,MATCH('[1]Основной сток'!J300,'[1]Размерная сетка'!$A$2:$A$40,0)) &amp; " / см " &amp;
INDEX('[1]Размерная сетка'!$D$2:$D$40,MATCH('[1]Основной сток'!J300,'[1]Размерная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Indoor Light Blue Floral, IF4491
• В наличии в Москве
• Оригинал, можно проверить при получении
• Совершенно новые, полный комплект
• Размер: EU 37 / RU 36 / US 6,5 / см 23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03" s="8">
        <f>'[1]Основной сток'!L300</f>
        <v>20000</v>
      </c>
      <c r="I303" s="1" t="str" cm="1">
        <f t="array" ref="I303">VLOOKUP(INDEX('[1]Основной сток'!H:H,ROW()-3),[1]Фотки!A:B,2,FALSE)</f>
        <v>https://i.ibb.co/0p4W2ZQF/1-1.jpg|https://i.ibb.co/rRfZ8HWN/2.jpg|https://i.ibb.co/Pvc4zWft/3.jpg|https://i.ibb.co/NcrjyJT/4.jpg</v>
      </c>
      <c r="J303" t="s">
        <v>36</v>
      </c>
      <c r="K303" t="s">
        <v>37</v>
      </c>
      <c r="L303" t="str">
        <f t="shared" si="8"/>
        <v>Женская обувь</v>
      </c>
      <c r="M303" t="s">
        <v>38</v>
      </c>
      <c r="N303" t="s">
        <v>39</v>
      </c>
      <c r="O303" t="str">
        <f>PROPER('[1]Основной сток'!F300)</f>
        <v>Adidas</v>
      </c>
      <c r="P303" t="str">
        <f>'[1]Основной сток'!M300</f>
        <v>Голубой</v>
      </c>
      <c r="R303" t="s">
        <v>41</v>
      </c>
      <c r="S303" t="s">
        <v>42</v>
      </c>
      <c r="T303" t="str">
        <f t="shared" si="9"/>
        <v>Кроссовки и кеды</v>
      </c>
      <c r="U303">
        <f>'[1]Основной сток'!J300 - 1</f>
        <v>36</v>
      </c>
      <c r="V303" t="s">
        <v>43</v>
      </c>
      <c r="X303" t="s">
        <v>44</v>
      </c>
      <c r="Y303" t="s">
        <v>45</v>
      </c>
    </row>
    <row r="304" spans="1:25" x14ac:dyDescent="0.15">
      <c r="A304" s="6">
        <f>'[1]Основной сток'!A301</f>
        <v>3137663</v>
      </c>
      <c r="B304" t="s">
        <v>33</v>
      </c>
      <c r="D304" t="s">
        <v>34</v>
      </c>
      <c r="E304" t="s">
        <v>35</v>
      </c>
      <c r="F304" s="7" t="str">
        <f>PROPER(LEFT('[1]Основной сток'!I301,FIND(CHAR(10),'[1]Основной сток'!I301&amp;CHAR(10))-1))</f>
        <v>Adidas Gazelle Indoor Light Blue Floral</v>
      </c>
      <c r="G304" t="str">
        <f>F304 &amp; ", " &amp; '[1]Основной сток'!H301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сток'!J301 &amp; " / RU " &amp;
INDEX('[1]Размерная сетка'!$B$2:$B$40,MATCH('[1]Основной сток'!J301,'[1]Размерная сетка'!$A$2:$A$40,0)) &amp; " / US " &amp;
INDEX('[1]Размерная сетка'!$C$2:$C$40,MATCH('[1]Основной сток'!J301,'[1]Размерная сетка'!$A$2:$A$40,0)) &amp; " / см " &amp;
INDEX('[1]Размерная сетка'!$D$2:$D$40,MATCH('[1]Основной сток'!J301,'[1]Размерная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Indoor Light Blue Floral, IF4491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04" s="8">
        <f>'[1]Основной сток'!L301</f>
        <v>20000</v>
      </c>
      <c r="I304" s="1" t="str" cm="1">
        <f t="array" ref="I304">VLOOKUP(INDEX('[1]Основной сток'!H:H,ROW()-3),[1]Фотки!A:B,2,FALSE)</f>
        <v>https://i.ibb.co/0p4W2ZQF/1-1.jpg|https://i.ibb.co/rRfZ8HWN/2.jpg|https://i.ibb.co/Pvc4zWft/3.jpg|https://i.ibb.co/NcrjyJT/4.jpg</v>
      </c>
      <c r="J304" t="s">
        <v>36</v>
      </c>
      <c r="K304" t="s">
        <v>37</v>
      </c>
      <c r="L304" t="str">
        <f t="shared" si="8"/>
        <v>Женская обувь</v>
      </c>
      <c r="M304" t="s">
        <v>38</v>
      </c>
      <c r="N304" t="s">
        <v>39</v>
      </c>
      <c r="O304" t="str">
        <f>PROPER('[1]Основной сток'!F301)</f>
        <v>Adidas</v>
      </c>
      <c r="P304" t="str">
        <f>'[1]Основной сток'!M301</f>
        <v>Голубой</v>
      </c>
      <c r="R304" t="s">
        <v>41</v>
      </c>
      <c r="S304" t="s">
        <v>42</v>
      </c>
      <c r="T304" t="str">
        <f t="shared" si="9"/>
        <v>Кроссовки и кеды</v>
      </c>
      <c r="U304">
        <f>'[1]Основной сток'!J301 - 1</f>
        <v>37</v>
      </c>
      <c r="V304" t="s">
        <v>43</v>
      </c>
      <c r="X304" t="s">
        <v>44</v>
      </c>
      <c r="Y304" t="s">
        <v>45</v>
      </c>
    </row>
    <row r="305" spans="1:25" x14ac:dyDescent="0.15">
      <c r="A305" s="6">
        <f>'[1]Основной сток'!A302</f>
        <v>3137664</v>
      </c>
      <c r="B305" t="s">
        <v>33</v>
      </c>
      <c r="D305" t="s">
        <v>34</v>
      </c>
      <c r="E305" t="s">
        <v>35</v>
      </c>
      <c r="F305" s="7" t="str">
        <f>PROPER(LEFT('[1]Основной сток'!I302,FIND(CHAR(10),'[1]Основной сток'!I302&amp;CHAR(10))-1))</f>
        <v>Adidas Gazelle Indoor Light Blue Floral</v>
      </c>
      <c r="G305" t="str">
        <f>F305 &amp; ", " &amp; '[1]Основной сток'!H302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сток'!J302 &amp; " / RU " &amp;
INDEX('[1]Размерная сетка'!$B$2:$B$40,MATCH('[1]Основной сток'!J302,'[1]Размерная сетка'!$A$2:$A$40,0)) &amp; " / US " &amp;
INDEX('[1]Размерная сетка'!$C$2:$C$40,MATCH('[1]Основной сток'!J302,'[1]Размерная сетка'!$A$2:$A$40,0)) &amp; " / см " &amp;
INDEX('[1]Размерная сетка'!$D$2:$D$40,MATCH('[1]Основной сток'!J302,'[1]Размерная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Indoor Light Blue Floral, IF4491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05" s="8">
        <f>'[1]Основной сток'!L302</f>
        <v>20000</v>
      </c>
      <c r="I305" s="1" t="str" cm="1">
        <f t="array" ref="I305">VLOOKUP(INDEX('[1]Основной сток'!H:H,ROW()-3),[1]Фотки!A:B,2,FALSE)</f>
        <v>https://i.ibb.co/0p4W2ZQF/1-1.jpg|https://i.ibb.co/rRfZ8HWN/2.jpg|https://i.ibb.co/Pvc4zWft/3.jpg|https://i.ibb.co/NcrjyJT/4.jpg</v>
      </c>
      <c r="J305" t="s">
        <v>36</v>
      </c>
      <c r="K305" t="s">
        <v>37</v>
      </c>
      <c r="L305" t="str">
        <f t="shared" si="8"/>
        <v>Женская обувь</v>
      </c>
      <c r="M305" t="s">
        <v>38</v>
      </c>
      <c r="N305" t="s">
        <v>39</v>
      </c>
      <c r="O305" t="str">
        <f>PROPER('[1]Основной сток'!F302)</f>
        <v>Adidas</v>
      </c>
      <c r="P305" t="str">
        <f>'[1]Основной сток'!M302</f>
        <v>Голубой</v>
      </c>
      <c r="R305" t="s">
        <v>41</v>
      </c>
      <c r="S305" t="s">
        <v>42</v>
      </c>
      <c r="T305" t="str">
        <f t="shared" si="9"/>
        <v>Кроссовки и кеды</v>
      </c>
      <c r="U305">
        <f>'[1]Основной сток'!J302 - 1</f>
        <v>37.5</v>
      </c>
      <c r="V305" t="s">
        <v>43</v>
      </c>
      <c r="X305" t="s">
        <v>44</v>
      </c>
      <c r="Y305" t="s">
        <v>45</v>
      </c>
    </row>
    <row r="306" spans="1:25" x14ac:dyDescent="0.15">
      <c r="A306" s="6">
        <f>'[1]Основной сток'!A303</f>
        <v>3137684</v>
      </c>
      <c r="B306" t="s">
        <v>33</v>
      </c>
      <c r="D306" t="s">
        <v>34</v>
      </c>
      <c r="E306" t="s">
        <v>35</v>
      </c>
      <c r="F306" s="7" t="str">
        <f>PROPER(LEFT('[1]Основной сток'!I303,FIND(CHAR(10),'[1]Основной сток'!I303&amp;CHAR(10))-1))</f>
        <v>Adidas Samba Black And White</v>
      </c>
      <c r="G306" t="str">
        <f>F306 &amp; ", " &amp; '[1]Основной сток'!H303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сток'!J303 &amp; " / RU " &amp;
INDEX('[1]Размерная сетка'!$B$2:$B$40,MATCH('[1]Основной сток'!J303,'[1]Размерная сетка'!$A$2:$A$40,0)) &amp; " / US " &amp;
INDEX('[1]Размерная сетка'!$C$2:$C$40,MATCH('[1]Основной сток'!J303,'[1]Размерная сетка'!$A$2:$A$40,0)) &amp; " / см " &amp;
INDEX('[1]Размерная сетка'!$D$2:$D$40,MATCH('[1]Основной сток'!J303,'[1]Размерная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Black And White, IE5836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06" s="8">
        <f>'[1]Основной сток'!L303</f>
        <v>19990</v>
      </c>
      <c r="I306" s="1" t="str" cm="1">
        <f t="array" ref="I306">VLOOKUP(INDEX('[1]Основной сток'!H:H,ROW()-3),[1]Фотки!A:B,2,FALSE)</f>
        <v>https://i.ibb.co/pjnKNx17/1.jpg|https://i.ibb.co/cKZ6f140/2.jpg|https://i.ibb.co/MxYxVPx7/3.jpg|https://i.ibb.co/5h2t5jWM/4.jpg</v>
      </c>
      <c r="J306" t="s">
        <v>36</v>
      </c>
      <c r="K306" t="s">
        <v>37</v>
      </c>
      <c r="L306" t="str">
        <f t="shared" si="8"/>
        <v>Женская обувь</v>
      </c>
      <c r="M306" t="s">
        <v>38</v>
      </c>
      <c r="N306" t="s">
        <v>39</v>
      </c>
      <c r="O306" t="str">
        <f>PROPER('[1]Основной сток'!F303)</f>
        <v>Adidas</v>
      </c>
      <c r="P306" t="str">
        <f>'[1]Основной сток'!M303</f>
        <v>Черный</v>
      </c>
      <c r="R306" t="s">
        <v>41</v>
      </c>
      <c r="S306" t="s">
        <v>42</v>
      </c>
      <c r="T306" t="str">
        <f t="shared" si="9"/>
        <v>Кроссовки и кеды</v>
      </c>
      <c r="U306">
        <f>'[1]Основной сток'!J303 - 1</f>
        <v>38</v>
      </c>
      <c r="V306" t="s">
        <v>43</v>
      </c>
      <c r="X306" t="s">
        <v>44</v>
      </c>
      <c r="Y306" t="s">
        <v>45</v>
      </c>
    </row>
    <row r="307" spans="1:25" x14ac:dyDescent="0.15">
      <c r="A307" s="6">
        <f>'[1]Основной сток'!A304</f>
        <v>3137686</v>
      </c>
      <c r="B307" t="s">
        <v>33</v>
      </c>
      <c r="D307" t="s">
        <v>34</v>
      </c>
      <c r="E307" t="s">
        <v>35</v>
      </c>
      <c r="F307" s="7" t="str">
        <f>PROPER(LEFT('[1]Основной сток'!I304,FIND(CHAR(10),'[1]Основной сток'!I304&amp;CHAR(10))-1))</f>
        <v>Caroline Hu X Clot X Samba 'Reverie - Black'</v>
      </c>
      <c r="G307" t="str">
        <f>F307 &amp; ", " &amp; '[1]Основной сток'!H304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сток'!J304 &amp; " / RU " &amp;
INDEX('[1]Размерная сетка'!$B$2:$B$40,MATCH('[1]Основной сток'!J304,'[1]Размерная сетка'!$A$2:$A$40,0)) &amp; " / US " &amp;
INDEX('[1]Размерная сетка'!$C$2:$C$40,MATCH('[1]Основной сток'!J304,'[1]Размерная сетка'!$A$2:$A$40,0)) &amp; " / см " &amp;
INDEX('[1]Размерная сетка'!$D$2:$D$40,MATCH('[1]Основной сток'!J304,'[1]Размерная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Caroline Hu X Clot X Samba 'Reverie - Black', JQ4749
• В наличии в Москве
• Оригинал, можно проверить при получении
• Совершенно новые, полный комплект
• Размер: EU 40,5 / RU 39,5 / US 9 / см 25,3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07" s="8">
        <f>'[1]Основной сток'!L304</f>
        <v>40000</v>
      </c>
      <c r="I307" s="1" t="str" cm="1">
        <f t="array" ref="I307">VLOOKUP(INDEX('[1]Основной сток'!H:H,ROW()-3),[1]Фотки!A:B,2,FALSE)</f>
        <v>https://i.ibb.co/7xw4qWb4/1.jpg</v>
      </c>
      <c r="J307" t="s">
        <v>36</v>
      </c>
      <c r="K307" t="s">
        <v>37</v>
      </c>
      <c r="L307" t="str">
        <f t="shared" si="8"/>
        <v>Женская обувь</v>
      </c>
      <c r="M307" t="s">
        <v>38</v>
      </c>
      <c r="N307" t="s">
        <v>39</v>
      </c>
      <c r="O307" t="str">
        <f>PROPER('[1]Основной сток'!F304)</f>
        <v>Adidas</v>
      </c>
      <c r="P307" t="str">
        <f>'[1]Основной сток'!M304</f>
        <v>Черный</v>
      </c>
      <c r="R307" t="s">
        <v>41</v>
      </c>
      <c r="S307" t="s">
        <v>42</v>
      </c>
      <c r="T307" t="str">
        <f t="shared" si="9"/>
        <v>Кроссовки и кеды</v>
      </c>
      <c r="U307">
        <f>'[1]Основной сток'!J304 - 1</f>
        <v>39.5</v>
      </c>
      <c r="V307" t="s">
        <v>43</v>
      </c>
      <c r="X307" t="s">
        <v>44</v>
      </c>
      <c r="Y307" t="s">
        <v>45</v>
      </c>
    </row>
    <row r="308" spans="1:25" x14ac:dyDescent="0.15">
      <c r="A308" s="6">
        <f>'[1]Основной сток'!A305</f>
        <v>3138717</v>
      </c>
      <c r="B308" t="s">
        <v>33</v>
      </c>
      <c r="D308" t="s">
        <v>34</v>
      </c>
      <c r="E308" t="s">
        <v>35</v>
      </c>
      <c r="F308" s="7" t="str">
        <f>PROPER(LEFT('[1]Основной сток'!I305,FIND(CHAR(10),'[1]Основной сток'!I305&amp;CHAR(10))-1))</f>
        <v>Sporty &amp; Rich X Samba Og 'Usa'</v>
      </c>
      <c r="G308" t="str">
        <f>F308 &amp; ", " &amp; '[1]Основной сток'!H305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сток'!J305 &amp; " / RU " &amp;
INDEX('[1]Размерная сетка'!$B$2:$B$40,MATCH('[1]Основной сток'!J305,'[1]Размерная сетка'!$A$2:$A$40,0)) &amp; " / US " &amp;
INDEX('[1]Размерная сетка'!$C$2:$C$40,MATCH('[1]Основной сток'!J305,'[1]Размерная сетка'!$A$2:$A$40,0)) &amp; " / см " &amp;
INDEX('[1]Размерная сетка'!$D$2:$D$40,MATCH('[1]Основной сток'!J305,'[1]Размерная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Sporty &amp; Rich X Samba Og 'Usa', IH8338
• В наличии в Москве
• Оригинал, можно проверить при получении
• Совершенно новые, полный комплект
• Размер: EU 36,5 / RU 35,5 / US 6 / см 22,7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08" s="8">
        <f>'[1]Основной сток'!L305</f>
        <v>27000</v>
      </c>
      <c r="I308" s="1" t="str" cm="1">
        <f t="array" ref="I308">VLOOKUP(INDEX('[1]Основной сток'!H:H,ROW()-3),[1]Фотки!A:B,2,FALSE)</f>
        <v>https://i.ibb.co/wFg8DBpJ/1.jpg|https://i.ibb.co/PvT07JwJ/2.jpg|https://i.ibb.co/pB1PKYnH/3.jpg|https://i.ibb.co/1tj561D4/4.jpg</v>
      </c>
      <c r="J308" t="s">
        <v>36</v>
      </c>
      <c r="K308" t="s">
        <v>37</v>
      </c>
      <c r="L308" t="str">
        <f t="shared" si="8"/>
        <v>Женская обувь</v>
      </c>
      <c r="M308" t="s">
        <v>38</v>
      </c>
      <c r="N308" t="s">
        <v>39</v>
      </c>
      <c r="O308" t="str">
        <f>PROPER('[1]Основной сток'!F305)</f>
        <v>Adidas</v>
      </c>
      <c r="P308" t="str">
        <f>'[1]Основной сток'!M305</f>
        <v>Белый</v>
      </c>
      <c r="R308" t="s">
        <v>41</v>
      </c>
      <c r="S308" t="s">
        <v>42</v>
      </c>
      <c r="T308" t="str">
        <f t="shared" si="9"/>
        <v>Кроссовки и кеды</v>
      </c>
      <c r="U308">
        <f>'[1]Основной сток'!J305 - 1</f>
        <v>35.5</v>
      </c>
      <c r="V308" t="s">
        <v>43</v>
      </c>
      <c r="X308" t="s">
        <v>44</v>
      </c>
      <c r="Y308" t="s">
        <v>45</v>
      </c>
    </row>
    <row r="309" spans="1:25" x14ac:dyDescent="0.15">
      <c r="A309" s="6">
        <f>'[1]Основной сток'!A306</f>
        <v>3138718</v>
      </c>
      <c r="B309" t="s">
        <v>33</v>
      </c>
      <c r="D309" t="s">
        <v>34</v>
      </c>
      <c r="E309" t="s">
        <v>35</v>
      </c>
      <c r="F309" s="7" t="str">
        <f>PROPER(LEFT('[1]Основной сток'!I306,FIND(CHAR(10),'[1]Основной сток'!I306&amp;CHAR(10))-1))</f>
        <v>Sporty &amp; Rich X Samba Og 'Usa'</v>
      </c>
      <c r="G309" t="str">
        <f>F309 &amp; ", " &amp; '[1]Основной сток'!H306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сток'!J306 &amp; " / RU " &amp;
INDEX('[1]Размерная сетка'!$B$2:$B$40,MATCH('[1]Основной сток'!J306,'[1]Размерная сетка'!$A$2:$A$40,0)) &amp; " / US " &amp;
INDEX('[1]Размерная сетка'!$C$2:$C$40,MATCH('[1]Основной сток'!J306,'[1]Размерная сетка'!$A$2:$A$40,0)) &amp; " / см " &amp;
INDEX('[1]Размерная сетка'!$D$2:$D$40,MATCH('[1]Основной сток'!J306,'[1]Размерная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Sporty &amp; Rich X Samba Og 'Usa', IH8338
• В наличии в Москве
• Оригинал, можно проверить при получении
• Совершенно новые, полный комплект
• Размер: EU 37 / RU 36 / US 6,5 / см 23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09" s="8">
        <f>'[1]Основной сток'!L306</f>
        <v>27000</v>
      </c>
      <c r="I309" s="1" t="str" cm="1">
        <f t="array" ref="I309">VLOOKUP(INDEX('[1]Основной сток'!H:H,ROW()-3),[1]Фотки!A:B,2,FALSE)</f>
        <v>https://i.ibb.co/wFg8DBpJ/1.jpg|https://i.ibb.co/PvT07JwJ/2.jpg|https://i.ibb.co/pB1PKYnH/3.jpg|https://i.ibb.co/1tj561D4/4.jpg</v>
      </c>
      <c r="J309" t="s">
        <v>36</v>
      </c>
      <c r="K309" t="s">
        <v>37</v>
      </c>
      <c r="L309" t="str">
        <f t="shared" si="8"/>
        <v>Женская обувь</v>
      </c>
      <c r="M309" t="s">
        <v>38</v>
      </c>
      <c r="N309" t="s">
        <v>39</v>
      </c>
      <c r="O309" t="str">
        <f>PROPER('[1]Основной сток'!F306)</f>
        <v>Adidas</v>
      </c>
      <c r="P309" t="str">
        <f>'[1]Основной сток'!M306</f>
        <v>Белый</v>
      </c>
      <c r="R309" t="s">
        <v>41</v>
      </c>
      <c r="S309" t="s">
        <v>42</v>
      </c>
      <c r="T309" t="str">
        <f t="shared" si="9"/>
        <v>Кроссовки и кеды</v>
      </c>
      <c r="U309">
        <f>'[1]Основной сток'!J306 - 1</f>
        <v>36</v>
      </c>
      <c r="V309" t="s">
        <v>43</v>
      </c>
      <c r="X309" t="s">
        <v>44</v>
      </c>
      <c r="Y309" t="s">
        <v>45</v>
      </c>
    </row>
    <row r="310" spans="1:25" x14ac:dyDescent="0.15">
      <c r="A310" s="6">
        <f>'[1]Основной сток'!A307</f>
        <v>3138720</v>
      </c>
      <c r="B310" t="s">
        <v>33</v>
      </c>
      <c r="D310" t="s">
        <v>34</v>
      </c>
      <c r="E310" t="s">
        <v>35</v>
      </c>
      <c r="F310" s="7" t="str">
        <f>PROPER(LEFT('[1]Основной сток'!I307,FIND(CHAR(10),'[1]Основной сток'!I307&amp;CHAR(10))-1))</f>
        <v>Sporty &amp; Rich X Samba Og 'Usa'</v>
      </c>
      <c r="G310" t="str">
        <f>F310 &amp; ", " &amp; '[1]Основной сток'!H307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сток'!J307 &amp; " / RU " &amp;
INDEX('[1]Размерная сетка'!$B$2:$B$40,MATCH('[1]Основной сток'!J307,'[1]Размерная сетка'!$A$2:$A$40,0)) &amp; " / US " &amp;
INDEX('[1]Размерная сетка'!$C$2:$C$40,MATCH('[1]Основной сток'!J307,'[1]Размерная сетка'!$A$2:$A$40,0)) &amp; " / см " &amp;
INDEX('[1]Размерная сетка'!$D$2:$D$40,MATCH('[1]Основной сток'!J307,'[1]Размерная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Sporty &amp; Rich X Samba Og 'Usa', IH8338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10" s="8">
        <f>'[1]Основной сток'!L307</f>
        <v>27000</v>
      </c>
      <c r="I310" s="1" t="str" cm="1">
        <f t="array" ref="I310">VLOOKUP(INDEX('[1]Основной сток'!H:H,ROW()-3),[1]Фотки!A:B,2,FALSE)</f>
        <v>https://i.ibb.co/wFg8DBpJ/1.jpg|https://i.ibb.co/PvT07JwJ/2.jpg|https://i.ibb.co/pB1PKYnH/3.jpg|https://i.ibb.co/1tj561D4/4.jpg</v>
      </c>
      <c r="J310" t="s">
        <v>36</v>
      </c>
      <c r="K310" t="s">
        <v>37</v>
      </c>
      <c r="L310" t="str">
        <f t="shared" si="8"/>
        <v>Женская обувь</v>
      </c>
      <c r="M310" t="s">
        <v>38</v>
      </c>
      <c r="N310" t="s">
        <v>39</v>
      </c>
      <c r="O310" t="str">
        <f>PROPER('[1]Основной сток'!F307)</f>
        <v>Adidas</v>
      </c>
      <c r="P310" t="str">
        <f>'[1]Основной сток'!M307</f>
        <v>Белый</v>
      </c>
      <c r="R310" t="s">
        <v>41</v>
      </c>
      <c r="S310" t="s">
        <v>42</v>
      </c>
      <c r="T310" t="str">
        <f t="shared" si="9"/>
        <v>Кроссовки и кеды</v>
      </c>
      <c r="U310">
        <f>'[1]Основной сток'!J307 - 1</f>
        <v>37</v>
      </c>
      <c r="V310" t="s">
        <v>43</v>
      </c>
      <c r="X310" t="s">
        <v>44</v>
      </c>
      <c r="Y310" t="s">
        <v>45</v>
      </c>
    </row>
    <row r="311" spans="1:25" x14ac:dyDescent="0.15">
      <c r="A311" s="6">
        <f>'[1]Основной сток'!A308</f>
        <v>3138721</v>
      </c>
      <c r="B311" t="s">
        <v>33</v>
      </c>
      <c r="D311" t="s">
        <v>34</v>
      </c>
      <c r="E311" t="s">
        <v>35</v>
      </c>
      <c r="F311" s="7" t="str">
        <f>PROPER(LEFT('[1]Основной сток'!I308,FIND(CHAR(10),'[1]Основной сток'!I308&amp;CHAR(10))-1))</f>
        <v>Sporty &amp; Rich X Samba Og 'Usa'</v>
      </c>
      <c r="G311" t="str">
        <f>F311 &amp; ", " &amp; '[1]Основной сток'!H308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сток'!J308 &amp; " / RU " &amp;
INDEX('[1]Размерная сетка'!$B$2:$B$40,MATCH('[1]Основной сток'!J308,'[1]Размерная сетка'!$A$2:$A$40,0)) &amp; " / US " &amp;
INDEX('[1]Размерная сетка'!$C$2:$C$40,MATCH('[1]Основной сток'!J308,'[1]Размерная сетка'!$A$2:$A$40,0)) &amp; " / см " &amp;
INDEX('[1]Размерная сетка'!$D$2:$D$40,MATCH('[1]Основной сток'!J308,'[1]Размерная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Sporty &amp; Rich X Samba Og 'Usa', IH8338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11" s="8">
        <f>'[1]Основной сток'!L308</f>
        <v>27000</v>
      </c>
      <c r="I311" s="1" t="str" cm="1">
        <f t="array" ref="I311">VLOOKUP(INDEX('[1]Основной сток'!H:H,ROW()-3),[1]Фотки!A:B,2,FALSE)</f>
        <v>https://i.ibb.co/wFg8DBpJ/1.jpg|https://i.ibb.co/PvT07JwJ/2.jpg|https://i.ibb.co/pB1PKYnH/3.jpg|https://i.ibb.co/1tj561D4/4.jpg</v>
      </c>
      <c r="J311" t="s">
        <v>36</v>
      </c>
      <c r="K311" t="s">
        <v>37</v>
      </c>
      <c r="L311" t="str">
        <f t="shared" si="8"/>
        <v>Женская обувь</v>
      </c>
      <c r="M311" t="s">
        <v>38</v>
      </c>
      <c r="N311" t="s">
        <v>39</v>
      </c>
      <c r="O311" t="str">
        <f>PROPER('[1]Основной сток'!F308)</f>
        <v>Adidas</v>
      </c>
      <c r="P311" t="str">
        <f>'[1]Основной сток'!M308</f>
        <v>Белый</v>
      </c>
      <c r="R311" t="s">
        <v>41</v>
      </c>
      <c r="S311" t="s">
        <v>42</v>
      </c>
      <c r="T311" t="str">
        <f t="shared" si="9"/>
        <v>Кроссовки и кеды</v>
      </c>
      <c r="U311">
        <f>'[1]Основной сток'!J308 - 1</f>
        <v>37.5</v>
      </c>
      <c r="V311" t="s">
        <v>43</v>
      </c>
      <c r="X311" t="s">
        <v>44</v>
      </c>
      <c r="Y311" t="s">
        <v>45</v>
      </c>
    </row>
    <row r="312" spans="1:25" x14ac:dyDescent="0.15">
      <c r="A312" s="6">
        <f>'[1]Основной сток'!A309</f>
        <v>3138722</v>
      </c>
      <c r="B312" t="s">
        <v>33</v>
      </c>
      <c r="D312" t="s">
        <v>34</v>
      </c>
      <c r="E312" t="s">
        <v>35</v>
      </c>
      <c r="F312" s="7" t="str">
        <f>PROPER(LEFT('[1]Основной сток'!I309,FIND(CHAR(10),'[1]Основной сток'!I309&amp;CHAR(10))-1))</f>
        <v>Sporty &amp; Rich X Samba Og 'Usa'</v>
      </c>
      <c r="G312" t="str">
        <f>F312 &amp; ", " &amp; '[1]Основной сток'!H309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сток'!J309 &amp; " / RU " &amp;
INDEX('[1]Размерная сетка'!$B$2:$B$40,MATCH('[1]Основной сток'!J309,'[1]Размерная сетка'!$A$2:$A$40,0)) &amp; " / US " &amp;
INDEX('[1]Размерная сетка'!$C$2:$C$40,MATCH('[1]Основной сток'!J309,'[1]Размерная сетка'!$A$2:$A$40,0)) &amp; " / см " &amp;
INDEX('[1]Размерная сетка'!$D$2:$D$40,MATCH('[1]Основной сток'!J309,'[1]Размерная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Sporty &amp; Rich X Samba Og 'Usa', IH8338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12" s="8">
        <f>'[1]Основной сток'!L309</f>
        <v>27000</v>
      </c>
      <c r="I312" s="1" t="str" cm="1">
        <f t="array" ref="I312">VLOOKUP(INDEX('[1]Основной сток'!H:H,ROW()-3),[1]Фотки!A:B,2,FALSE)</f>
        <v>https://i.ibb.co/wFg8DBpJ/1.jpg|https://i.ibb.co/PvT07JwJ/2.jpg|https://i.ibb.co/pB1PKYnH/3.jpg|https://i.ibb.co/1tj561D4/4.jpg</v>
      </c>
      <c r="J312" t="s">
        <v>36</v>
      </c>
      <c r="K312" t="s">
        <v>37</v>
      </c>
      <c r="L312" t="str">
        <f t="shared" si="8"/>
        <v>Женская обувь</v>
      </c>
      <c r="M312" t="s">
        <v>38</v>
      </c>
      <c r="N312" t="s">
        <v>39</v>
      </c>
      <c r="O312" t="str">
        <f>PROPER('[1]Основной сток'!F309)</f>
        <v>Adidas</v>
      </c>
      <c r="P312" t="str">
        <f>'[1]Основной сток'!M309</f>
        <v>Белый</v>
      </c>
      <c r="R312" t="s">
        <v>41</v>
      </c>
      <c r="S312" t="s">
        <v>42</v>
      </c>
      <c r="T312" t="str">
        <f t="shared" si="9"/>
        <v>Кроссовки и кеды</v>
      </c>
      <c r="U312">
        <f>'[1]Основной сток'!J309 - 1</f>
        <v>37.5</v>
      </c>
      <c r="V312" t="s">
        <v>43</v>
      </c>
      <c r="X312" t="s">
        <v>44</v>
      </c>
      <c r="Y312" t="s">
        <v>45</v>
      </c>
    </row>
    <row r="313" spans="1:25" x14ac:dyDescent="0.15">
      <c r="A313" s="6">
        <f>'[1]Основной сток'!A310</f>
        <v>3138727</v>
      </c>
      <c r="B313" t="s">
        <v>33</v>
      </c>
      <c r="D313" t="s">
        <v>34</v>
      </c>
      <c r="E313" t="s">
        <v>35</v>
      </c>
      <c r="F313" s="7" t="str">
        <f>PROPER(LEFT('[1]Основной сток'!I310,FIND(CHAR(10),'[1]Основной сток'!I310&amp;CHAR(10))-1))</f>
        <v>Sporty &amp; Rich X Samba Og 'Usa'</v>
      </c>
      <c r="G313" t="str">
        <f>F313 &amp; ", " &amp; '[1]Основной сток'!H310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сток'!J310 &amp; " / RU " &amp;
INDEX('[1]Размерная сетка'!$B$2:$B$40,MATCH('[1]Основной сток'!J310,'[1]Размерная сетка'!$A$2:$A$40,0)) &amp; " / US " &amp;
INDEX('[1]Размерная сетка'!$C$2:$C$40,MATCH('[1]Основной сток'!J310,'[1]Размерная сетка'!$A$2:$A$40,0)) &amp; " / см " &amp;
INDEX('[1]Размерная сетка'!$D$2:$D$40,MATCH('[1]Основной сток'!J310,'[1]Размерная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Sporty &amp; Rich X Samba Og 'Usa', IH8338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13" s="8">
        <f>'[1]Основной сток'!L310</f>
        <v>27000</v>
      </c>
      <c r="I313" s="1" t="str" cm="1">
        <f t="array" ref="I313">VLOOKUP(INDEX('[1]Основной сток'!H:H,ROW()-3),[1]Фотки!A:B,2,FALSE)</f>
        <v>https://i.ibb.co/wFg8DBpJ/1.jpg|https://i.ibb.co/PvT07JwJ/2.jpg|https://i.ibb.co/pB1PKYnH/3.jpg|https://i.ibb.co/1tj561D4/4.jpg</v>
      </c>
      <c r="J313" t="s">
        <v>36</v>
      </c>
      <c r="K313" t="s">
        <v>37</v>
      </c>
      <c r="L313" t="str">
        <f t="shared" si="8"/>
        <v>Женская обувь</v>
      </c>
      <c r="M313" t="s">
        <v>38</v>
      </c>
      <c r="N313" t="s">
        <v>39</v>
      </c>
      <c r="O313" t="str">
        <f>PROPER('[1]Основной сток'!F310)</f>
        <v>Adidas</v>
      </c>
      <c r="P313" t="str">
        <f>'[1]Основной сток'!M310</f>
        <v>Белый</v>
      </c>
      <c r="R313" t="s">
        <v>41</v>
      </c>
      <c r="S313" t="s">
        <v>42</v>
      </c>
      <c r="T313" t="str">
        <f t="shared" si="9"/>
        <v>Кроссовки и кеды</v>
      </c>
      <c r="U313">
        <f>'[1]Основной сток'!J310 - 1</f>
        <v>39</v>
      </c>
      <c r="V313" t="s">
        <v>43</v>
      </c>
      <c r="X313" t="s">
        <v>44</v>
      </c>
      <c r="Y313" t="s">
        <v>45</v>
      </c>
    </row>
    <row r="314" spans="1:25" x14ac:dyDescent="0.15">
      <c r="A314" s="6">
        <f>'[1]Основной сток'!A311</f>
        <v>3138728</v>
      </c>
      <c r="B314" t="s">
        <v>33</v>
      </c>
      <c r="D314" t="s">
        <v>34</v>
      </c>
      <c r="E314" t="s">
        <v>35</v>
      </c>
      <c r="F314" s="7" t="str">
        <f>PROPER(LEFT('[1]Основной сток'!I311,FIND(CHAR(10),'[1]Основной сток'!I311&amp;CHAR(10))-1))</f>
        <v>Sporty &amp; Rich X Samba Og 'Usa'</v>
      </c>
      <c r="G314" t="str">
        <f>F314 &amp; ", " &amp; '[1]Основной сток'!H311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сток'!J311 &amp; " / RU " &amp;
INDEX('[1]Размерная сетка'!$B$2:$B$40,MATCH('[1]Основной сток'!J311,'[1]Размерная сетка'!$A$2:$A$40,0)) &amp; " / US " &amp;
INDEX('[1]Размерная сетка'!$C$2:$C$40,MATCH('[1]Основной сток'!J311,'[1]Размерная сетка'!$A$2:$A$40,0)) &amp; " / см " &amp;
INDEX('[1]Размерная сетка'!$D$2:$D$40,MATCH('[1]Основной сток'!J311,'[1]Размерная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Sporty &amp; Rich X Samba Og 'Usa', IH8338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14" s="8">
        <f>'[1]Основной сток'!L311</f>
        <v>27000</v>
      </c>
      <c r="I314" s="1" t="str" cm="1">
        <f t="array" ref="I314">VLOOKUP(INDEX('[1]Основной сток'!H:H,ROW()-3),[1]Фотки!A:B,2,FALSE)</f>
        <v>https://i.ibb.co/wFg8DBpJ/1.jpg|https://i.ibb.co/PvT07JwJ/2.jpg|https://i.ibb.co/pB1PKYnH/3.jpg|https://i.ibb.co/1tj561D4/4.jpg</v>
      </c>
      <c r="J314" t="s">
        <v>36</v>
      </c>
      <c r="K314" t="s">
        <v>37</v>
      </c>
      <c r="L314" t="str">
        <f t="shared" si="8"/>
        <v>Женская обувь</v>
      </c>
      <c r="M314" t="s">
        <v>38</v>
      </c>
      <c r="N314" t="s">
        <v>39</v>
      </c>
      <c r="O314" t="str">
        <f>PROPER('[1]Основной сток'!F311)</f>
        <v>Adidas</v>
      </c>
      <c r="P314" t="str">
        <f>'[1]Основной сток'!M311</f>
        <v>Белый</v>
      </c>
      <c r="R314" t="s">
        <v>41</v>
      </c>
      <c r="S314" t="s">
        <v>42</v>
      </c>
      <c r="T314" t="str">
        <f t="shared" si="9"/>
        <v>Кроссовки и кеды</v>
      </c>
      <c r="U314">
        <f>'[1]Основной сток'!J311 - 1</f>
        <v>39</v>
      </c>
      <c r="V314" t="s">
        <v>43</v>
      </c>
      <c r="X314" t="s">
        <v>44</v>
      </c>
      <c r="Y314" t="s">
        <v>45</v>
      </c>
    </row>
    <row r="315" spans="1:25" x14ac:dyDescent="0.15">
      <c r="A315" s="6">
        <f>'[1]Основной сток'!A312</f>
        <v>3138731</v>
      </c>
      <c r="B315" t="s">
        <v>33</v>
      </c>
      <c r="D315" t="s">
        <v>34</v>
      </c>
      <c r="E315" t="s">
        <v>35</v>
      </c>
      <c r="F315" s="7" t="str">
        <f>PROPER(LEFT('[1]Основной сток'!I312,FIND(CHAR(10),'[1]Основной сток'!I312&amp;CHAR(10))-1))</f>
        <v>Adidas Gazelle Indoor 'Almost Pink Gum'</v>
      </c>
      <c r="G315" t="str">
        <f>F315 &amp; ", " &amp; '[1]Основной сток'!H312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сток'!J312 &amp; " / RU " &amp;
INDEX('[1]Размерная сетка'!$B$2:$B$40,MATCH('[1]Основной сток'!J312,'[1]Размерная сетка'!$A$2:$A$40,0)) &amp; " / US " &amp;
INDEX('[1]Размерная сетка'!$C$2:$C$40,MATCH('[1]Основной сток'!J312,'[1]Размерная сетка'!$A$2:$A$40,0)) &amp; " / см " &amp;
INDEX('[1]Размерная сетка'!$D$2:$D$40,MATCH('[1]Основной сток'!J312,'[1]Размерная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Indoor 'Almost Pink Gum', IF1809
• В наличии в Москве
• Оригинал, можно проверить при получении
• Совершенно новые, полный комплект
• Размер: EU 36,5 / RU 35,5 / US 6 / см 22,7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15" s="8">
        <f>'[1]Основной сток'!L312</f>
        <v>17900</v>
      </c>
      <c r="I315" s="1" t="str" cm="1">
        <f t="array" ref="I315">VLOOKUP(INDEX('[1]Основной сток'!H:H,ROW()-3),[1]Фотки!A:B,2,FALSE)</f>
        <v>https://i.ibb.co/hJqhNYxd/1-1.jpg</v>
      </c>
      <c r="J315" t="s">
        <v>36</v>
      </c>
      <c r="K315" t="s">
        <v>37</v>
      </c>
      <c r="L315" t="str">
        <f t="shared" si="8"/>
        <v>Женская обувь</v>
      </c>
      <c r="M315" t="s">
        <v>38</v>
      </c>
      <c r="N315" t="s">
        <v>39</v>
      </c>
      <c r="O315" t="str">
        <f>PROPER('[1]Основной сток'!F312)</f>
        <v>Adidas</v>
      </c>
      <c r="P315" t="str">
        <f>'[1]Основной сток'!M312</f>
        <v>Розовый</v>
      </c>
      <c r="R315" t="s">
        <v>41</v>
      </c>
      <c r="S315" t="s">
        <v>42</v>
      </c>
      <c r="T315" t="str">
        <f t="shared" si="9"/>
        <v>Кроссовки и кеды</v>
      </c>
      <c r="U315">
        <f>'[1]Основной сток'!J312 - 1</f>
        <v>35.5</v>
      </c>
      <c r="V315" t="s">
        <v>43</v>
      </c>
      <c r="X315" t="s">
        <v>44</v>
      </c>
      <c r="Y315" t="s">
        <v>45</v>
      </c>
    </row>
    <row r="316" spans="1:25" x14ac:dyDescent="0.15">
      <c r="A316" s="6">
        <f>'[1]Основной сток'!A313</f>
        <v>3138732</v>
      </c>
      <c r="B316" t="s">
        <v>33</v>
      </c>
      <c r="D316" t="s">
        <v>34</v>
      </c>
      <c r="E316" t="s">
        <v>35</v>
      </c>
      <c r="F316" s="7" t="str">
        <f>PROPER(LEFT('[1]Основной сток'!I313,FIND(CHAR(10),'[1]Основной сток'!I313&amp;CHAR(10))-1))</f>
        <v>Adidas Gazelle Indoor 'Almost Pink Gum'</v>
      </c>
      <c r="G316" t="str">
        <f>F316 &amp; ", " &amp; '[1]Основной сток'!H313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сток'!J313 &amp; " / RU " &amp;
INDEX('[1]Размерная сетка'!$B$2:$B$40,MATCH('[1]Основной сток'!J313,'[1]Размерная сетка'!$A$2:$A$40,0)) &amp; " / US " &amp;
INDEX('[1]Размерная сетка'!$C$2:$C$40,MATCH('[1]Основной сток'!J313,'[1]Размерная сетка'!$A$2:$A$40,0)) &amp; " / см " &amp;
INDEX('[1]Размерная сетка'!$D$2:$D$40,MATCH('[1]Основной сток'!J313,'[1]Размерная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Indoor 'Almost Pink Gum', IF1809
• В наличии в Москве
• Оригинал, можно проверить при получении
• Совершенно новые, полный комплект
• Размер: EU 37 / RU 36 / US 6,5 / см 23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16" s="8">
        <f>'[1]Основной сток'!L313</f>
        <v>17900</v>
      </c>
      <c r="I316" s="1" t="str" cm="1">
        <f t="array" ref="I316">VLOOKUP(INDEX('[1]Основной сток'!H:H,ROW()-3),[1]Фотки!A:B,2,FALSE)</f>
        <v>https://i.ibb.co/hJqhNYxd/1-1.jpg</v>
      </c>
      <c r="J316" t="s">
        <v>36</v>
      </c>
      <c r="K316" t="s">
        <v>37</v>
      </c>
      <c r="L316" t="str">
        <f t="shared" si="8"/>
        <v>Женская обувь</v>
      </c>
      <c r="M316" t="s">
        <v>38</v>
      </c>
      <c r="N316" t="s">
        <v>39</v>
      </c>
      <c r="O316" t="str">
        <f>PROPER('[1]Основной сток'!F313)</f>
        <v>Adidas</v>
      </c>
      <c r="P316" t="str">
        <f>'[1]Основной сток'!M313</f>
        <v>Розовый</v>
      </c>
      <c r="R316" t="s">
        <v>41</v>
      </c>
      <c r="S316" t="s">
        <v>42</v>
      </c>
      <c r="T316" t="str">
        <f t="shared" si="9"/>
        <v>Кроссовки и кеды</v>
      </c>
      <c r="U316">
        <f>'[1]Основной сток'!J313 - 1</f>
        <v>36</v>
      </c>
      <c r="V316" t="s">
        <v>43</v>
      </c>
      <c r="X316" t="s">
        <v>44</v>
      </c>
      <c r="Y316" t="s">
        <v>45</v>
      </c>
    </row>
    <row r="317" spans="1:25" x14ac:dyDescent="0.15">
      <c r="A317" s="6">
        <f>'[1]Основной сток'!A314</f>
        <v>3138733</v>
      </c>
      <c r="B317" t="s">
        <v>33</v>
      </c>
      <c r="D317" t="s">
        <v>34</v>
      </c>
      <c r="E317" t="s">
        <v>35</v>
      </c>
      <c r="F317" s="7" t="str">
        <f>PROPER(LEFT('[1]Основной сток'!I314,FIND(CHAR(10),'[1]Основной сток'!I314&amp;CHAR(10))-1))</f>
        <v>Adidas Gazelle Indoor 'Almost Pink Gum'</v>
      </c>
      <c r="G317" t="str">
        <f>F317 &amp; ", " &amp; '[1]Основной сток'!H314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сток'!J314 &amp; " / RU " &amp;
INDEX('[1]Размерная сетка'!$B$2:$B$40,MATCH('[1]Основной сток'!J314,'[1]Размерная сетка'!$A$2:$A$40,0)) &amp; " / US " &amp;
INDEX('[1]Размерная сетка'!$C$2:$C$40,MATCH('[1]Основной сток'!J314,'[1]Размерная сетка'!$A$2:$A$40,0)) &amp; " / см " &amp;
INDEX('[1]Размерная сетка'!$D$2:$D$40,MATCH('[1]Основной сток'!J314,'[1]Размерная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Indoor 'Almost Pink Gum', IF1809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17" s="8">
        <f>'[1]Основной сток'!L314</f>
        <v>17900</v>
      </c>
      <c r="I317" s="1" t="str" cm="1">
        <f t="array" ref="I317">VLOOKUP(INDEX('[1]Основной сток'!H:H,ROW()-3),[1]Фотки!A:B,2,FALSE)</f>
        <v>https://i.ibb.co/hJqhNYxd/1-1.jpg</v>
      </c>
      <c r="J317" t="s">
        <v>36</v>
      </c>
      <c r="K317" t="s">
        <v>37</v>
      </c>
      <c r="L317" t="str">
        <f t="shared" si="8"/>
        <v>Женская обувь</v>
      </c>
      <c r="M317" t="s">
        <v>38</v>
      </c>
      <c r="N317" t="s">
        <v>39</v>
      </c>
      <c r="O317" t="str">
        <f>PROPER('[1]Основной сток'!F314)</f>
        <v>Adidas</v>
      </c>
      <c r="P317" t="str">
        <f>'[1]Основной сток'!M314</f>
        <v>Розовый</v>
      </c>
      <c r="R317" t="s">
        <v>41</v>
      </c>
      <c r="S317" t="s">
        <v>42</v>
      </c>
      <c r="T317" t="str">
        <f t="shared" si="9"/>
        <v>Кроссовки и кеды</v>
      </c>
      <c r="U317">
        <f>'[1]Основной сток'!J314 - 1</f>
        <v>37</v>
      </c>
      <c r="V317" t="s">
        <v>43</v>
      </c>
      <c r="X317" t="s">
        <v>44</v>
      </c>
      <c r="Y317" t="s">
        <v>45</v>
      </c>
    </row>
    <row r="318" spans="1:25" x14ac:dyDescent="0.15">
      <c r="A318" s="6">
        <f>'[1]Основной сток'!A315</f>
        <v>3138734</v>
      </c>
      <c r="B318" t="s">
        <v>33</v>
      </c>
      <c r="D318" t="s">
        <v>34</v>
      </c>
      <c r="E318" t="s">
        <v>35</v>
      </c>
      <c r="F318" s="7" t="str">
        <f>PROPER(LEFT('[1]Основной сток'!I315,FIND(CHAR(10),'[1]Основной сток'!I315&amp;CHAR(10))-1))</f>
        <v>Adidas Gazelle Indoor 'Almost Pink Gum'</v>
      </c>
      <c r="G318" t="str">
        <f>F318 &amp; ", " &amp; '[1]Основной сток'!H315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сток'!J315 &amp; " / RU " &amp;
INDEX('[1]Размерная сетка'!$B$2:$B$40,MATCH('[1]Основной сток'!J315,'[1]Размерная сетка'!$A$2:$A$40,0)) &amp; " / US " &amp;
INDEX('[1]Размерная сетка'!$C$2:$C$40,MATCH('[1]Основной сток'!J315,'[1]Размерная сетка'!$A$2:$A$40,0)) &amp; " / см " &amp;
INDEX('[1]Размерная сетка'!$D$2:$D$40,MATCH('[1]Основной сток'!J315,'[1]Размерная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Indoor 'Almost Pink Gum', IF1809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18" s="8">
        <f>'[1]Основной сток'!L315</f>
        <v>17900</v>
      </c>
      <c r="I318" s="1" t="str" cm="1">
        <f t="array" ref="I318">VLOOKUP(INDEX('[1]Основной сток'!H:H,ROW()-3),[1]Фотки!A:B,2,FALSE)</f>
        <v>https://i.ibb.co/hJqhNYxd/1-1.jpg</v>
      </c>
      <c r="J318" t="s">
        <v>36</v>
      </c>
      <c r="K318" t="s">
        <v>37</v>
      </c>
      <c r="L318" t="str">
        <f t="shared" si="8"/>
        <v>Женская обувь</v>
      </c>
      <c r="M318" t="s">
        <v>38</v>
      </c>
      <c r="N318" t="s">
        <v>39</v>
      </c>
      <c r="O318" t="str">
        <f>PROPER('[1]Основной сток'!F315)</f>
        <v>Adidas</v>
      </c>
      <c r="P318" t="str">
        <f>'[1]Основной сток'!M315</f>
        <v>Розовый</v>
      </c>
      <c r="R318" t="s">
        <v>41</v>
      </c>
      <c r="S318" t="s">
        <v>42</v>
      </c>
      <c r="T318" t="str">
        <f t="shared" si="9"/>
        <v>Кроссовки и кеды</v>
      </c>
      <c r="U318">
        <f>'[1]Основной сток'!J315 - 1</f>
        <v>37.5</v>
      </c>
      <c r="V318" t="s">
        <v>43</v>
      </c>
      <c r="X318" t="s">
        <v>44</v>
      </c>
      <c r="Y318" t="s">
        <v>45</v>
      </c>
    </row>
    <row r="319" spans="1:25" x14ac:dyDescent="0.15">
      <c r="A319" s="6">
        <f>'[1]Основной сток'!A316</f>
        <v>3138735</v>
      </c>
      <c r="B319" t="s">
        <v>33</v>
      </c>
      <c r="D319" t="s">
        <v>34</v>
      </c>
      <c r="E319" t="s">
        <v>35</v>
      </c>
      <c r="F319" s="7" t="str">
        <f>PROPER(LEFT('[1]Основной сток'!I316,FIND(CHAR(10),'[1]Основной сток'!I316&amp;CHAR(10))-1))</f>
        <v>Adidas Gazelle Indoor 'Almost Pink Gum'</v>
      </c>
      <c r="G319" t="str">
        <f>F319 &amp; ", " &amp; '[1]Основной сток'!H316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сток'!J316 &amp; " / RU " &amp;
INDEX('[1]Размерная сетка'!$B$2:$B$40,MATCH('[1]Основной сток'!J316,'[1]Размерная сетка'!$A$2:$A$40,0)) &amp; " / US " &amp;
INDEX('[1]Размерная сетка'!$C$2:$C$40,MATCH('[1]Основной сток'!J316,'[1]Размерная сетка'!$A$2:$A$40,0)) &amp; " / см " &amp;
INDEX('[1]Размерная сетка'!$D$2:$D$40,MATCH('[1]Основной сток'!J316,'[1]Размерная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Indoor 'Almost Pink Gum', IF1809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19" s="8">
        <f>'[1]Основной сток'!L316</f>
        <v>17900</v>
      </c>
      <c r="I319" s="1" t="str" cm="1">
        <f t="array" ref="I319">VLOOKUP(INDEX('[1]Основной сток'!H:H,ROW()-3),[1]Фотки!A:B,2,FALSE)</f>
        <v>https://i.ibb.co/hJqhNYxd/1-1.jpg</v>
      </c>
      <c r="J319" t="s">
        <v>36</v>
      </c>
      <c r="K319" t="s">
        <v>37</v>
      </c>
      <c r="L319" t="str">
        <f t="shared" si="8"/>
        <v>Женская обувь</v>
      </c>
      <c r="M319" t="s">
        <v>38</v>
      </c>
      <c r="N319" t="s">
        <v>39</v>
      </c>
      <c r="O319" t="str">
        <f>PROPER('[1]Основной сток'!F316)</f>
        <v>Adidas</v>
      </c>
      <c r="P319" t="str">
        <f>'[1]Основной сток'!M316</f>
        <v>Розовый</v>
      </c>
      <c r="R319" t="s">
        <v>41</v>
      </c>
      <c r="S319" t="s">
        <v>42</v>
      </c>
      <c r="T319" t="str">
        <f t="shared" si="9"/>
        <v>Кроссовки и кеды</v>
      </c>
      <c r="U319">
        <f>'[1]Основной сток'!J316 - 1</f>
        <v>38</v>
      </c>
      <c r="V319" t="s">
        <v>43</v>
      </c>
      <c r="X319" t="s">
        <v>44</v>
      </c>
      <c r="Y319" t="s">
        <v>45</v>
      </c>
    </row>
    <row r="320" spans="1:25" x14ac:dyDescent="0.15">
      <c r="A320" s="6">
        <f>'[1]Основной сток'!A317</f>
        <v>3138736</v>
      </c>
      <c r="B320" t="s">
        <v>33</v>
      </c>
      <c r="D320" t="s">
        <v>34</v>
      </c>
      <c r="E320" t="s">
        <v>35</v>
      </c>
      <c r="F320" s="7" t="str">
        <f>PROPER(LEFT('[1]Основной сток'!I317,FIND(CHAR(10),'[1]Основной сток'!I317&amp;CHAR(10))-1))</f>
        <v xml:space="preserve">Adidas Gazelle Indoor </v>
      </c>
      <c r="G320" t="str">
        <f>F320 &amp; ", " &amp; '[1]Основной сток'!H317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сток'!J317 &amp; " / RU " &amp;
INDEX('[1]Размерная сетка'!$B$2:$B$40,MATCH('[1]Основной сток'!J317,'[1]Размерная сетка'!$A$2:$A$40,0)) &amp; " / US " &amp;
INDEX('[1]Размерная сетка'!$C$2:$C$40,MATCH('[1]Основной сток'!J317,'[1]Размерная сетка'!$A$2:$A$40,0)) &amp; " / см " &amp;
INDEX('[1]Размерная сетка'!$D$2:$D$40,MATCH('[1]Основной сток'!J317,'[1]Размерная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Indoor , JP5671
• В наличии в Москве
• Оригинал, можно проверить при получении
• Совершенно новые, полный комплект
• Размер: EU 37 / RU 36 / US 6,5 / см 23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20" s="8">
        <f>'[1]Основной сток'!L317</f>
        <v>22000</v>
      </c>
      <c r="I320" s="1" t="str" cm="1">
        <f t="array" ref="I320">VLOOKUP(INDEX('[1]Основной сток'!H:H,ROW()-3),[1]Фотки!A:B,2,FALSE)</f>
        <v>https://i.ibb.co/1tyVTZsh/1.jpg</v>
      </c>
      <c r="J320" t="s">
        <v>36</v>
      </c>
      <c r="K320" t="s">
        <v>37</v>
      </c>
      <c r="L320" t="str">
        <f t="shared" si="8"/>
        <v>Женская обувь</v>
      </c>
      <c r="M320" t="s">
        <v>38</v>
      </c>
      <c r="N320" t="s">
        <v>39</v>
      </c>
      <c r="O320" t="str">
        <f>PROPER('[1]Основной сток'!F317)</f>
        <v>Adidas</v>
      </c>
      <c r="P320" t="str">
        <f>'[1]Основной сток'!M317</f>
        <v>Коричневый</v>
      </c>
      <c r="R320" t="s">
        <v>41</v>
      </c>
      <c r="S320" t="s">
        <v>42</v>
      </c>
      <c r="T320" t="str">
        <f t="shared" si="9"/>
        <v>Кроссовки и кеды</v>
      </c>
      <c r="U320">
        <f>'[1]Основной сток'!J317 - 1</f>
        <v>36</v>
      </c>
      <c r="V320" t="s">
        <v>43</v>
      </c>
      <c r="X320" t="s">
        <v>44</v>
      </c>
      <c r="Y320" t="s">
        <v>45</v>
      </c>
    </row>
    <row r="321" spans="1:25" x14ac:dyDescent="0.15">
      <c r="A321" s="6">
        <f>'[1]Основной сток'!A318</f>
        <v>3138737</v>
      </c>
      <c r="B321" t="s">
        <v>33</v>
      </c>
      <c r="D321" t="s">
        <v>34</v>
      </c>
      <c r="E321" t="s">
        <v>35</v>
      </c>
      <c r="F321" s="7" t="str">
        <f>PROPER(LEFT('[1]Основной сток'!I318,FIND(CHAR(10),'[1]Основной сток'!I318&amp;CHAR(10))-1))</f>
        <v xml:space="preserve">Adidas Gazelle Indoor </v>
      </c>
      <c r="G321" t="str">
        <f>F321 &amp; ", " &amp; '[1]Основной сток'!H318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сток'!J318 &amp; " / RU " &amp;
INDEX('[1]Размерная сетка'!$B$2:$B$40,MATCH('[1]Основной сток'!J318,'[1]Размерная сетка'!$A$2:$A$40,0)) &amp; " / US " &amp;
INDEX('[1]Размерная сетка'!$C$2:$C$40,MATCH('[1]Основной сток'!J318,'[1]Размерная сетка'!$A$2:$A$40,0)) &amp; " / см " &amp;
INDEX('[1]Размерная сетка'!$D$2:$D$40,MATCH('[1]Основной сток'!J318,'[1]Размерная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Indoor , JP5671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21" s="8">
        <f>'[1]Основной сток'!L318</f>
        <v>22000</v>
      </c>
      <c r="I321" s="1" t="str" cm="1">
        <f t="array" ref="I321">VLOOKUP(INDEX('[1]Основной сток'!H:H,ROW()-3),[1]Фотки!A:B,2,FALSE)</f>
        <v>https://i.ibb.co/1tyVTZsh/1.jpg</v>
      </c>
      <c r="J321" t="s">
        <v>36</v>
      </c>
      <c r="K321" t="s">
        <v>37</v>
      </c>
      <c r="L321" t="str">
        <f t="shared" si="8"/>
        <v>Женская обувь</v>
      </c>
      <c r="M321" t="s">
        <v>38</v>
      </c>
      <c r="N321" t="s">
        <v>39</v>
      </c>
      <c r="O321" t="str">
        <f>PROPER('[1]Основной сток'!F318)</f>
        <v>Adidas</v>
      </c>
      <c r="P321" t="str">
        <f>'[1]Основной сток'!M318</f>
        <v>Коричневый</v>
      </c>
      <c r="R321" t="s">
        <v>41</v>
      </c>
      <c r="S321" t="s">
        <v>42</v>
      </c>
      <c r="T321" t="str">
        <f t="shared" si="9"/>
        <v>Кроссовки и кеды</v>
      </c>
      <c r="U321">
        <f>'[1]Основной сток'!J318 - 1</f>
        <v>37</v>
      </c>
      <c r="V321" t="s">
        <v>43</v>
      </c>
      <c r="X321" t="s">
        <v>44</v>
      </c>
      <c r="Y321" t="s">
        <v>45</v>
      </c>
    </row>
    <row r="322" spans="1:25" x14ac:dyDescent="0.15">
      <c r="A322" s="6">
        <f>'[1]Основной сток'!A319</f>
        <v>3138739</v>
      </c>
      <c r="B322" t="s">
        <v>33</v>
      </c>
      <c r="D322" t="s">
        <v>34</v>
      </c>
      <c r="E322" t="s">
        <v>35</v>
      </c>
      <c r="F322" s="7" t="str">
        <f>PROPER(LEFT('[1]Основной сток'!I319,FIND(CHAR(10),'[1]Основной сток'!I319&amp;CHAR(10))-1))</f>
        <v xml:space="preserve">Adidas Gazelle Indoor </v>
      </c>
      <c r="G322" t="str">
        <f>F322 &amp; ", " &amp; '[1]Основной сток'!H319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сток'!J319 &amp; " / RU " &amp;
INDEX('[1]Размерная сетка'!$B$2:$B$40,MATCH('[1]Основной сток'!J319,'[1]Размерная сетка'!$A$2:$A$40,0)) &amp; " / US " &amp;
INDEX('[1]Размерная сетка'!$C$2:$C$40,MATCH('[1]Основной сток'!J319,'[1]Размерная сетка'!$A$2:$A$40,0)) &amp; " / см " &amp;
INDEX('[1]Размерная сетка'!$D$2:$D$40,MATCH('[1]Основной сток'!J319,'[1]Размерная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Indoor , JP5671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22" s="8">
        <f>'[1]Основной сток'!L319</f>
        <v>22000</v>
      </c>
      <c r="I322" s="1" t="str" cm="1">
        <f t="array" ref="I322">VLOOKUP(INDEX('[1]Основной сток'!H:H,ROW()-3),[1]Фотки!A:B,2,FALSE)</f>
        <v>https://i.ibb.co/1tyVTZsh/1.jpg</v>
      </c>
      <c r="J322" t="s">
        <v>36</v>
      </c>
      <c r="K322" t="s">
        <v>37</v>
      </c>
      <c r="L322" t="str">
        <f t="shared" si="8"/>
        <v>Женская обувь</v>
      </c>
      <c r="M322" t="s">
        <v>38</v>
      </c>
      <c r="N322" t="s">
        <v>39</v>
      </c>
      <c r="O322" t="str">
        <f>PROPER('[1]Основной сток'!F319)</f>
        <v>Adidas</v>
      </c>
      <c r="P322" t="str">
        <f>'[1]Основной сток'!M319</f>
        <v>Коричневый</v>
      </c>
      <c r="R322" t="s">
        <v>41</v>
      </c>
      <c r="S322" t="s">
        <v>42</v>
      </c>
      <c r="T322" t="str">
        <f t="shared" si="9"/>
        <v>Кроссовки и кеды</v>
      </c>
      <c r="U322">
        <f>'[1]Основной сток'!J319 - 1</f>
        <v>37.5</v>
      </c>
      <c r="V322" t="s">
        <v>43</v>
      </c>
      <c r="X322" t="s">
        <v>44</v>
      </c>
      <c r="Y322" t="s">
        <v>45</v>
      </c>
    </row>
    <row r="323" spans="1:25" x14ac:dyDescent="0.15">
      <c r="A323" s="6">
        <f>'[1]Основной сток'!A320</f>
        <v>3142098</v>
      </c>
      <c r="B323" t="s">
        <v>33</v>
      </c>
      <c r="D323" t="s">
        <v>34</v>
      </c>
      <c r="E323" t="s">
        <v>35</v>
      </c>
      <c r="F323" s="7" t="str">
        <f>PROPER(LEFT('[1]Основной сток'!I320,FIND(CHAR(10),'[1]Основной сток'!I320&amp;CHAR(10))-1))</f>
        <v>Caroline Hu X Clot X Samba 'Reverie - Black Lace Shell'</v>
      </c>
      <c r="G323" t="str">
        <f>F323 &amp; ", " &amp; '[1]Основной сток'!H320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сток'!J320 &amp; " / RU " &amp;
INDEX('[1]Размерная сетка'!$B$2:$B$40,MATCH('[1]Основной сток'!J320,'[1]Размерная сетка'!$A$2:$A$40,0)) &amp; " / US " &amp;
INDEX('[1]Размерная сетка'!$C$2:$C$40,MATCH('[1]Основной сток'!J320,'[1]Размерная сетка'!$A$2:$A$40,0)) &amp; " / см " &amp;
INDEX('[1]Размерная сетка'!$D$2:$D$40,MATCH('[1]Основной сток'!J320,'[1]Размерная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Caroline Hu X Clot X Samba 'Reverie - Black Lace Shell', JS2778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23" s="8">
        <f>'[1]Основной сток'!L320</f>
        <v>40000</v>
      </c>
      <c r="I323" s="1" t="str" cm="1">
        <f t="array" ref="I323">VLOOKUP(INDEX('[1]Основной сток'!H:H,ROW()-3),[1]Фотки!A:B,2,FALSE)</f>
        <v>https://i.ibb.co/tMtjtV34/1-1.jpg</v>
      </c>
      <c r="J323" t="s">
        <v>36</v>
      </c>
      <c r="K323" t="s">
        <v>37</v>
      </c>
      <c r="L323" t="str">
        <f t="shared" si="8"/>
        <v>Женская обувь</v>
      </c>
      <c r="M323" t="s">
        <v>38</v>
      </c>
      <c r="N323" t="s">
        <v>39</v>
      </c>
      <c r="O323" t="str">
        <f>PROPER('[1]Основной сток'!F320)</f>
        <v>Adidas</v>
      </c>
      <c r="P323" t="str">
        <f>'[1]Основной сток'!M320</f>
        <v>Черный</v>
      </c>
      <c r="R323" t="s">
        <v>41</v>
      </c>
      <c r="S323" t="s">
        <v>42</v>
      </c>
      <c r="T323" t="str">
        <f t="shared" si="9"/>
        <v>Кроссовки и кеды</v>
      </c>
      <c r="U323">
        <f>'[1]Основной сток'!J320 - 1</f>
        <v>39</v>
      </c>
      <c r="V323" t="s">
        <v>43</v>
      </c>
      <c r="X323" t="s">
        <v>44</v>
      </c>
      <c r="Y323" t="s">
        <v>45</v>
      </c>
    </row>
    <row r="324" spans="1:25" x14ac:dyDescent="0.15">
      <c r="A324" s="6">
        <f>'[1]Основной сток'!A321</f>
        <v>3142176</v>
      </c>
      <c r="B324" t="s">
        <v>33</v>
      </c>
      <c r="D324" t="s">
        <v>34</v>
      </c>
      <c r="E324" t="s">
        <v>35</v>
      </c>
      <c r="F324" s="7" t="str">
        <f>PROPER(LEFT('[1]Основной сток'!I321,FIND(CHAR(10),'[1]Основной сток'!I321&amp;CHAR(10))-1))</f>
        <v>New Balance 9060 'Magnet'</v>
      </c>
      <c r="G324" t="str">
        <f>F324 &amp; ", " &amp; '[1]Основной сток'!H321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сток'!J321 &amp; " / RU " &amp;
INDEX('[1]Размерная сетка'!$B$2:$B$40,MATCH('[1]Основной сток'!J321,'[1]Размерная сетка'!$A$2:$A$40,0)) &amp; " / US " &amp;
INDEX('[1]Размерная сетка'!$C$2:$C$40,MATCH('[1]Основной сток'!J321,'[1]Размерная сетка'!$A$2:$A$40,0)) &amp; " / см " &amp;
INDEX('[1]Размерная сетка'!$D$2:$D$40,MATCH('[1]Основной сток'!J321,'[1]Размерная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9060 'Magnet', U9060SG
• В наличии в Москве
• Оригинал, можно проверить при получении
• Совершенно новые, полный комплект
• Размер: EU 39,5 / RU 38,5 / US 8-8,5 / см 24,7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24" s="8">
        <f>'[1]Основной сток'!L321</f>
        <v>24000</v>
      </c>
      <c r="I324" s="1" t="str" cm="1">
        <f t="array" ref="I324">VLOOKUP(INDEX('[1]Основной сток'!H:H,ROW()-3),[1]Фотки!A:B,2,FALSE)</f>
        <v>https://i.ibb.co/KpYDsdVq/1-1.jpg</v>
      </c>
      <c r="J324" t="s">
        <v>36</v>
      </c>
      <c r="K324" t="s">
        <v>37</v>
      </c>
      <c r="L324" t="str">
        <f t="shared" si="8"/>
        <v>Женская обувь</v>
      </c>
      <c r="M324" t="s">
        <v>38</v>
      </c>
      <c r="N324" t="s">
        <v>39</v>
      </c>
      <c r="O324" t="str">
        <f>PROPER('[1]Основной сток'!F321)</f>
        <v>New Balance</v>
      </c>
      <c r="P324" t="str">
        <f>'[1]Основной сток'!M321</f>
        <v>Серый</v>
      </c>
      <c r="R324" t="s">
        <v>41</v>
      </c>
      <c r="S324" t="s">
        <v>42</v>
      </c>
      <c r="T324" t="str">
        <f t="shared" si="9"/>
        <v>Кроссовки и кеды</v>
      </c>
      <c r="U324">
        <f>'[1]Основной сток'!J321 - 1</f>
        <v>38.5</v>
      </c>
      <c r="V324" t="s">
        <v>43</v>
      </c>
      <c r="X324" t="s">
        <v>44</v>
      </c>
      <c r="Y324" t="s">
        <v>45</v>
      </c>
    </row>
    <row r="325" spans="1:25" x14ac:dyDescent="0.15">
      <c r="A325" s="6">
        <f>'[1]Основной сток'!A322</f>
        <v>3145535</v>
      </c>
      <c r="B325" t="s">
        <v>33</v>
      </c>
      <c r="D325" t="s">
        <v>34</v>
      </c>
      <c r="E325" t="s">
        <v>35</v>
      </c>
      <c r="F325" s="7" t="str">
        <f>PROPER(LEFT('[1]Основной сток'!I322,FIND(CHAR(10),'[1]Основной сток'!I322&amp;CHAR(10))-1))</f>
        <v>New Balance 1906R 'Eclipse'</v>
      </c>
      <c r="G325" t="str">
        <f>F325 &amp; ", " &amp; '[1]Основной сток'!H322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сток'!J322 &amp; " / RU " &amp;
INDEX('[1]Размерная сетка'!$B$2:$B$40,MATCH('[1]Основной сток'!J322,'[1]Размерная сетка'!$A$2:$A$40,0)) &amp; " / US " &amp;
INDEX('[1]Размерная сетка'!$C$2:$C$40,MATCH('[1]Основной сток'!J322,'[1]Размерная сетка'!$A$2:$A$40,0)) &amp; " / см " &amp;
INDEX('[1]Размерная сетка'!$D$2:$D$40,MATCH('[1]Основной сток'!J322,'[1]Размерная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1906R 'Eclipse', M1906RCA
• В наличии в Москве
• Оригинал, можно проверить при получении
• Совершенно новые, полный комплект
• Размер: EU 43 / RU 42 / US 9,5 / см 27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25" s="8">
        <f>'[1]Основной сток'!L322</f>
        <v>20000</v>
      </c>
      <c r="I325" s="1" t="str" cm="1">
        <f t="array" ref="I325">VLOOKUP(INDEX('[1]Основной сток'!H:H,ROW()-3),[1]Фотки!A:B,2,FALSE)</f>
        <v>https://i.ibb.co/29XGFwF/1.jpg|https://i.ibb.co/gZvWZz5V/2.jpg|https://i.ibb.co/21L9tYRS/3.jpg|https://i.ibb.co/Ps9dfZfN/4.jpg</v>
      </c>
      <c r="J325" t="s">
        <v>36</v>
      </c>
      <c r="K325" t="s">
        <v>37</v>
      </c>
      <c r="L325" t="str">
        <f t="shared" si="8"/>
        <v>Мужская обувь</v>
      </c>
      <c r="M325" t="s">
        <v>38</v>
      </c>
      <c r="N325" t="s">
        <v>39</v>
      </c>
      <c r="O325" t="str">
        <f>PROPER('[1]Основной сток'!F322)</f>
        <v>New Balance</v>
      </c>
      <c r="P325" t="str">
        <f>'[1]Основной сток'!M322</f>
        <v>Черный</v>
      </c>
      <c r="R325" t="s">
        <v>41</v>
      </c>
      <c r="S325" t="s">
        <v>42</v>
      </c>
      <c r="T325" t="str">
        <f t="shared" si="9"/>
        <v>Кроссовки</v>
      </c>
      <c r="U325">
        <f>'[1]Основной сток'!J322 - 1</f>
        <v>42</v>
      </c>
      <c r="V325" t="s">
        <v>43</v>
      </c>
      <c r="X325" t="s">
        <v>44</v>
      </c>
      <c r="Y325" t="s">
        <v>45</v>
      </c>
    </row>
    <row r="326" spans="1:25" x14ac:dyDescent="0.15">
      <c r="A326" s="6">
        <f>'[1]Основной сток'!A323</f>
        <v>3145536</v>
      </c>
      <c r="B326" t="s">
        <v>33</v>
      </c>
      <c r="D326" t="s">
        <v>34</v>
      </c>
      <c r="E326" t="s">
        <v>35</v>
      </c>
      <c r="F326" s="7" t="str">
        <f>PROPER(LEFT('[1]Основной сток'!I323,FIND(CHAR(10),'[1]Основной сток'!I323&amp;CHAR(10))-1))</f>
        <v>New Balance 1906R 'Eclipse'</v>
      </c>
      <c r="G326" t="str">
        <f>F326 &amp; ", " &amp; '[1]Основной сток'!H323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сток'!J323 &amp; " / RU " &amp;
INDEX('[1]Размерная сетка'!$B$2:$B$40,MATCH('[1]Основной сток'!J323,'[1]Размерная сетка'!$A$2:$A$40,0)) &amp; " / US " &amp;
INDEX('[1]Размерная сетка'!$C$2:$C$40,MATCH('[1]Основной сток'!J323,'[1]Размерная сетка'!$A$2:$A$40,0)) &amp; " / см " &amp;
INDEX('[1]Размерная сетка'!$D$2:$D$40,MATCH('[1]Основной сток'!J323,'[1]Размерная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1906R 'Eclipse', M1906RCA
• В наличии в Москве
• Оригинал, можно проверить при получении
• Совершенно новые, полный комплект
• Размер: EU 45 / RU 44 / US 11 / см 28,3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26" s="8">
        <f>'[1]Основной сток'!L323</f>
        <v>20000</v>
      </c>
      <c r="I326" s="1" t="str" cm="1">
        <f t="array" ref="I326">VLOOKUP(INDEX('[1]Основной сток'!H:H,ROW()-3),[1]Фотки!A:B,2,FALSE)</f>
        <v>https://i.ibb.co/29XGFwF/1.jpg|https://i.ibb.co/gZvWZz5V/2.jpg|https://i.ibb.co/21L9tYRS/3.jpg|https://i.ibb.co/Ps9dfZfN/4.jpg</v>
      </c>
      <c r="J326" t="s">
        <v>36</v>
      </c>
      <c r="K326" t="s">
        <v>37</v>
      </c>
      <c r="L326" t="str">
        <f t="shared" ref="L326:L389" si="10">IF(U326&lt;=40,"Женская обувь","Мужская обувь")</f>
        <v>Мужская обувь</v>
      </c>
      <c r="M326" t="s">
        <v>38</v>
      </c>
      <c r="N326" t="s">
        <v>39</v>
      </c>
      <c r="O326" t="str">
        <f>PROPER('[1]Основной сток'!F323)</f>
        <v>New Balance</v>
      </c>
      <c r="P326" t="str">
        <f>'[1]Основной сток'!M323</f>
        <v>Черный</v>
      </c>
      <c r="R326" t="s">
        <v>41</v>
      </c>
      <c r="S326" t="s">
        <v>42</v>
      </c>
      <c r="T326" t="str">
        <f t="shared" si="9"/>
        <v>Кроссовки</v>
      </c>
      <c r="U326">
        <f>'[1]Основной сток'!J323 - 1</f>
        <v>44</v>
      </c>
      <c r="V326" t="s">
        <v>43</v>
      </c>
      <c r="X326" t="s">
        <v>44</v>
      </c>
      <c r="Y326" t="s">
        <v>45</v>
      </c>
    </row>
    <row r="327" spans="1:25" x14ac:dyDescent="0.15">
      <c r="A327" s="6">
        <f>'[1]Основной сток'!A324</f>
        <v>3145537</v>
      </c>
      <c r="B327" t="s">
        <v>33</v>
      </c>
      <c r="D327" t="s">
        <v>34</v>
      </c>
      <c r="E327" t="s">
        <v>35</v>
      </c>
      <c r="F327" s="7" t="str">
        <f>PROPER(LEFT('[1]Основной сток'!I324,FIND(CHAR(10),'[1]Основной сток'!I324&amp;CHAR(10))-1))</f>
        <v>New Balance 2002R 'Protection Pack - Navy'</v>
      </c>
      <c r="G327" t="str">
        <f>F327 &amp; ", " &amp; '[1]Основной сток'!H324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сток'!J324 &amp; " / RU " &amp;
INDEX('[1]Размерная сетка'!$B$2:$B$40,MATCH('[1]Основной сток'!J324,'[1]Размерная сетка'!$A$2:$A$40,0)) &amp; " / US " &amp;
INDEX('[1]Размерная сетка'!$C$2:$C$40,MATCH('[1]Основной сток'!J324,'[1]Размерная сетка'!$A$2:$A$40,0)) &amp; " / см " &amp;
INDEX('[1]Размерная сетка'!$D$2:$D$40,MATCH('[1]Основной сток'!J324,'[1]Размерная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2002R 'Protection Pack - Navy', M2002RDK
• В наличии в Москве
• Оригинал, можно проверить при получении
• Совершенно новые, полный комплект
• Размер: EU 42 / RU 41 / US 8,5 / см 26,3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27" s="8">
        <f>'[1]Основной сток'!L324</f>
        <v>24000</v>
      </c>
      <c r="I327" s="1" t="str" cm="1">
        <f t="array" ref="I327">VLOOKUP(INDEX('[1]Основной сток'!H:H,ROW()-3),[1]Фотки!A:B,2,FALSE)</f>
        <v>https://i.ibb.co/27XHvwGR/1-1.jpg|https://i.ibb.co/dwfg5zMh/2.jpg|https://i.ibb.co/RGj56Lxs/3.jpg|https://i.ibb.co/gMYHcxXd/4.jpg</v>
      </c>
      <c r="J327" t="s">
        <v>36</v>
      </c>
      <c r="K327" t="s">
        <v>37</v>
      </c>
      <c r="L327" t="str">
        <f t="shared" si="10"/>
        <v>Мужская обувь</v>
      </c>
      <c r="M327" t="s">
        <v>38</v>
      </c>
      <c r="N327" t="s">
        <v>39</v>
      </c>
      <c r="O327" t="str">
        <f>PROPER('[1]Основной сток'!F324)</f>
        <v>New Balance</v>
      </c>
      <c r="P327" t="str">
        <f>'[1]Основной сток'!M324</f>
        <v>Синий</v>
      </c>
      <c r="R327" t="s">
        <v>41</v>
      </c>
      <c r="S327" t="s">
        <v>42</v>
      </c>
      <c r="T327" t="str">
        <f t="shared" ref="T327:T390" si="11">IF(L327="Мужская обувь","Кроссовки","Кроссовки и кеды")</f>
        <v>Кроссовки</v>
      </c>
      <c r="U327">
        <f>'[1]Основной сток'!J324 - 1</f>
        <v>41</v>
      </c>
      <c r="V327" t="s">
        <v>43</v>
      </c>
      <c r="X327" t="s">
        <v>44</v>
      </c>
      <c r="Y327" t="s">
        <v>45</v>
      </c>
    </row>
    <row r="328" spans="1:25" x14ac:dyDescent="0.15">
      <c r="A328" s="6">
        <f>'[1]Основной сток'!A325</f>
        <v>3145539</v>
      </c>
      <c r="B328" t="s">
        <v>33</v>
      </c>
      <c r="D328" t="s">
        <v>34</v>
      </c>
      <c r="E328" t="s">
        <v>35</v>
      </c>
      <c r="F328" s="7" t="str">
        <f>PROPER(LEFT('[1]Основной сток'!I325,FIND(CHAR(10),'[1]Основной сток'!I325&amp;CHAR(10))-1))</f>
        <v>New Balance 2002R 'Protection Pack - Navy'</v>
      </c>
      <c r="G328" t="str">
        <f>F328 &amp; ", " &amp; '[1]Основной сток'!H325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сток'!J325 &amp; " / RU " &amp;
INDEX('[1]Размерная сетка'!$B$2:$B$40,MATCH('[1]Основной сток'!J325,'[1]Размерная сетка'!$A$2:$A$40,0)) &amp; " / US " &amp;
INDEX('[1]Размерная сетка'!$C$2:$C$40,MATCH('[1]Основной сток'!J325,'[1]Размерная сетка'!$A$2:$A$40,0)) &amp; " / см " &amp;
INDEX('[1]Размерная сетка'!$D$2:$D$40,MATCH('[1]Основной сток'!J325,'[1]Размерная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2002R 'Protection Pack - Navy', M2002RDK
• В наличии в Москве
• Оригинал, можно проверить при получении
• Совершенно новые, полный комплект
• Размер: EU 44 / RU 43 / US 10 / см 27,7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28" s="8">
        <f>'[1]Основной сток'!L325</f>
        <v>24000</v>
      </c>
      <c r="I328" s="1" t="str" cm="1">
        <f t="array" ref="I328">VLOOKUP(INDEX('[1]Основной сток'!H:H,ROW()-3),[1]Фотки!A:B,2,FALSE)</f>
        <v>https://i.ibb.co/27XHvwGR/1-1.jpg|https://i.ibb.co/dwfg5zMh/2.jpg|https://i.ibb.co/RGj56Lxs/3.jpg|https://i.ibb.co/gMYHcxXd/4.jpg</v>
      </c>
      <c r="J328" t="s">
        <v>36</v>
      </c>
      <c r="K328" t="s">
        <v>37</v>
      </c>
      <c r="L328" t="str">
        <f t="shared" si="10"/>
        <v>Мужская обувь</v>
      </c>
      <c r="M328" t="s">
        <v>38</v>
      </c>
      <c r="N328" t="s">
        <v>39</v>
      </c>
      <c r="O328" t="str">
        <f>PROPER('[1]Основной сток'!F325)</f>
        <v>New Balance</v>
      </c>
      <c r="P328" t="str">
        <f>'[1]Основной сток'!M325</f>
        <v>Синий</v>
      </c>
      <c r="R328" t="s">
        <v>41</v>
      </c>
      <c r="S328" t="s">
        <v>42</v>
      </c>
      <c r="T328" t="str">
        <f t="shared" si="11"/>
        <v>Кроссовки</v>
      </c>
      <c r="U328">
        <f>'[1]Основной сток'!J325 - 1</f>
        <v>43</v>
      </c>
      <c r="V328" t="s">
        <v>43</v>
      </c>
      <c r="X328" t="s">
        <v>44</v>
      </c>
      <c r="Y328" t="s">
        <v>45</v>
      </c>
    </row>
    <row r="329" spans="1:25" x14ac:dyDescent="0.15">
      <c r="A329" s="6">
        <f>'[1]Основной сток'!A326</f>
        <v>3145540</v>
      </c>
      <c r="B329" t="s">
        <v>33</v>
      </c>
      <c r="D329" t="s">
        <v>34</v>
      </c>
      <c r="E329" t="s">
        <v>35</v>
      </c>
      <c r="F329" s="7" t="str">
        <f>PROPER(LEFT('[1]Основной сток'!I326,FIND(CHAR(10),'[1]Основной сток'!I326&amp;CHAR(10))-1))</f>
        <v>New Balance 1906R 'Mindful Grey'</v>
      </c>
      <c r="G329" t="str">
        <f>F329 &amp; ", " &amp; '[1]Основной сток'!H326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сток'!J326 &amp; " / RU " &amp;
INDEX('[1]Размерная сетка'!$B$2:$B$40,MATCH('[1]Основной сток'!J326,'[1]Размерная сетка'!$A$2:$A$40,0)) &amp; " / US " &amp;
INDEX('[1]Размерная сетка'!$C$2:$C$40,MATCH('[1]Основной сток'!J326,'[1]Размерная сетка'!$A$2:$A$40,0)) &amp; " / см " &amp;
INDEX('[1]Размерная сетка'!$D$2:$D$40,MATCH('[1]Основной сток'!J326,'[1]Размерная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1906R 'Mindful Grey', M1906RW
• В наличии в Москве
• Оригинал, можно проверить при получении
• Совершенно новые, полный комплект
• Размер: EU 42,5 / RU 41,5 / US 9 / см 26,7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29" s="8">
        <f>'[1]Основной сток'!L326</f>
        <v>20000</v>
      </c>
      <c r="I329" s="1" t="str" cm="1">
        <f t="array" ref="I329">VLOOKUP(INDEX('[1]Основной сток'!H:H,ROW()-3),[1]Фотки!A:B,2,FALSE)</f>
        <v>https://i.ibb.co/7tqNWrxv/1.jpg|https://i.ibb.co/GfFXSgVh/2.jpg|https://i.ibb.co/rRDqV74Q/3.jpg|https://i.ibb.co/6hXbb4n/4.jpg</v>
      </c>
      <c r="J329" t="s">
        <v>36</v>
      </c>
      <c r="K329" t="s">
        <v>37</v>
      </c>
      <c r="L329" t="str">
        <f t="shared" si="10"/>
        <v>Мужская обувь</v>
      </c>
      <c r="M329" t="s">
        <v>38</v>
      </c>
      <c r="N329" t="s">
        <v>39</v>
      </c>
      <c r="O329" t="str">
        <f>PROPER('[1]Основной сток'!F326)</f>
        <v>New Balance</v>
      </c>
      <c r="P329" t="str">
        <f>'[1]Основной сток'!M326</f>
        <v>Белый</v>
      </c>
      <c r="R329" t="s">
        <v>41</v>
      </c>
      <c r="S329" t="s">
        <v>42</v>
      </c>
      <c r="T329" t="str">
        <f t="shared" si="11"/>
        <v>Кроссовки</v>
      </c>
      <c r="U329">
        <f>'[1]Основной сток'!J326 - 1</f>
        <v>41.5</v>
      </c>
      <c r="V329" t="s">
        <v>43</v>
      </c>
      <c r="X329" t="s">
        <v>44</v>
      </c>
      <c r="Y329" t="s">
        <v>45</v>
      </c>
    </row>
    <row r="330" spans="1:25" x14ac:dyDescent="0.15">
      <c r="A330" s="6">
        <f>'[1]Основной сток'!A327</f>
        <v>3145541</v>
      </c>
      <c r="B330" t="s">
        <v>33</v>
      </c>
      <c r="D330" t="s">
        <v>34</v>
      </c>
      <c r="E330" t="s">
        <v>35</v>
      </c>
      <c r="F330" s="7" t="str">
        <f>PROPER(LEFT('[1]Основной сток'!I327,FIND(CHAR(10),'[1]Основной сток'!I327&amp;CHAR(10))-1))</f>
        <v>New Balance 1906R 'Mindful Grey'</v>
      </c>
      <c r="G330" t="str">
        <f>F330 &amp; ", " &amp; '[1]Основной сток'!H327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сток'!J327 &amp; " / RU " &amp;
INDEX('[1]Размерная сетка'!$B$2:$B$40,MATCH('[1]Основной сток'!J327,'[1]Размерная сетка'!$A$2:$A$40,0)) &amp; " / US " &amp;
INDEX('[1]Размерная сетка'!$C$2:$C$40,MATCH('[1]Основной сток'!J327,'[1]Размерная сетка'!$A$2:$A$40,0)) &amp; " / см " &amp;
INDEX('[1]Размерная сетка'!$D$2:$D$40,MATCH('[1]Основной сток'!J327,'[1]Размерная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1906R 'Mindful Grey', M1906RW
• В наличии в Москве
• Оригинал, можно проверить при получении
• Совершенно новые, полный комплект
• Размер: EU 44 / RU 43 / US 10 / см 27,7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30" s="8">
        <f>'[1]Основной сток'!L327</f>
        <v>20000</v>
      </c>
      <c r="I330" s="1" t="str" cm="1">
        <f t="array" ref="I330">VLOOKUP(INDEX('[1]Основной сток'!H:H,ROW()-3),[1]Фотки!A:B,2,FALSE)</f>
        <v>https://i.ibb.co/7tqNWrxv/1.jpg|https://i.ibb.co/GfFXSgVh/2.jpg|https://i.ibb.co/rRDqV74Q/3.jpg|https://i.ibb.co/6hXbb4n/4.jpg</v>
      </c>
      <c r="J330" t="s">
        <v>36</v>
      </c>
      <c r="K330" t="s">
        <v>37</v>
      </c>
      <c r="L330" t="str">
        <f t="shared" si="10"/>
        <v>Мужская обувь</v>
      </c>
      <c r="M330" t="s">
        <v>38</v>
      </c>
      <c r="N330" t="s">
        <v>39</v>
      </c>
      <c r="O330" t="str">
        <f>PROPER('[1]Основной сток'!F327)</f>
        <v>New Balance</v>
      </c>
      <c r="P330" t="str">
        <f>'[1]Основной сток'!M327</f>
        <v>Белый</v>
      </c>
      <c r="R330" t="s">
        <v>41</v>
      </c>
      <c r="S330" t="s">
        <v>42</v>
      </c>
      <c r="T330" t="str">
        <f t="shared" si="11"/>
        <v>Кроссовки</v>
      </c>
      <c r="U330">
        <f>'[1]Основной сток'!J327 - 1</f>
        <v>43</v>
      </c>
      <c r="V330" t="s">
        <v>43</v>
      </c>
      <c r="X330" t="s">
        <v>44</v>
      </c>
      <c r="Y330" t="s">
        <v>45</v>
      </c>
    </row>
    <row r="331" spans="1:25" x14ac:dyDescent="0.15">
      <c r="A331" s="6">
        <f>'[1]Основной сток'!A328</f>
        <v>3145542</v>
      </c>
      <c r="B331" t="s">
        <v>33</v>
      </c>
      <c r="D331" t="s">
        <v>34</v>
      </c>
      <c r="E331" t="s">
        <v>35</v>
      </c>
      <c r="F331" s="7" t="str">
        <f>PROPER(LEFT('[1]Основной сток'!I328,FIND(CHAR(10),'[1]Основной сток'!I328&amp;CHAR(10))-1))</f>
        <v>New Balance 1906R 'Mindful Grey'</v>
      </c>
      <c r="G331" t="str">
        <f>F331 &amp; ", " &amp; '[1]Основной сток'!H328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сток'!J328 &amp; " / RU " &amp;
INDEX('[1]Размерная сетка'!$B$2:$B$40,MATCH('[1]Основной сток'!J328,'[1]Размерная сетка'!$A$2:$A$40,0)) &amp; " / US " &amp;
INDEX('[1]Размерная сетка'!$C$2:$C$40,MATCH('[1]Основной сток'!J328,'[1]Размерная сетка'!$A$2:$A$40,0)) &amp; " / см " &amp;
INDEX('[1]Размерная сетка'!$D$2:$D$40,MATCH('[1]Основной сток'!J328,'[1]Размерная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1906R 'Mindful Grey', M1906RW
• В наличии в Москве
• Оригинал, можно проверить при получении
• Совершенно новые, полный комплект
• Размер: EU 45 / RU 44 / US 11 / см 28,3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31" s="8">
        <f>'[1]Основной сток'!L328</f>
        <v>20000</v>
      </c>
      <c r="I331" s="1" t="str" cm="1">
        <f t="array" ref="I331">VLOOKUP(INDEX('[1]Основной сток'!H:H,ROW()-3),[1]Фотки!A:B,2,FALSE)</f>
        <v>https://i.ibb.co/7tqNWrxv/1.jpg|https://i.ibb.co/GfFXSgVh/2.jpg|https://i.ibb.co/rRDqV74Q/3.jpg|https://i.ibb.co/6hXbb4n/4.jpg</v>
      </c>
      <c r="J331" t="s">
        <v>36</v>
      </c>
      <c r="K331" t="s">
        <v>37</v>
      </c>
      <c r="L331" t="str">
        <f t="shared" si="10"/>
        <v>Мужская обувь</v>
      </c>
      <c r="M331" t="s">
        <v>38</v>
      </c>
      <c r="N331" t="s">
        <v>39</v>
      </c>
      <c r="O331" t="str">
        <f>PROPER('[1]Основной сток'!F328)</f>
        <v>New Balance</v>
      </c>
      <c r="P331" t="str">
        <f>'[1]Основной сток'!M328</f>
        <v>Белый</v>
      </c>
      <c r="R331" t="s">
        <v>41</v>
      </c>
      <c r="S331" t="s">
        <v>42</v>
      </c>
      <c r="T331" t="str">
        <f t="shared" si="11"/>
        <v>Кроссовки</v>
      </c>
      <c r="U331">
        <f>'[1]Основной сток'!J328 - 1</f>
        <v>44</v>
      </c>
      <c r="V331" t="s">
        <v>43</v>
      </c>
      <c r="X331" t="s">
        <v>44</v>
      </c>
      <c r="Y331" t="s">
        <v>45</v>
      </c>
    </row>
    <row r="332" spans="1:25" x14ac:dyDescent="0.15">
      <c r="A332" s="6">
        <f>'[1]Основной сток'!A329</f>
        <v>3151714</v>
      </c>
      <c r="B332" t="s">
        <v>33</v>
      </c>
      <c r="D332" t="s">
        <v>34</v>
      </c>
      <c r="E332" t="s">
        <v>35</v>
      </c>
      <c r="F332" s="7" t="str">
        <f>PROPER(LEFT('[1]Основной сток'!I329,FIND(CHAR(10),'[1]Основной сток'!I329&amp;CHAR(10))-1))</f>
        <v>Air Jordan 1 Low Shadow Toe</v>
      </c>
      <c r="G332" t="str">
        <f>F332 &amp; ", " &amp; '[1]Основной сток'!H329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сток'!J329 &amp; " / RU " &amp;
INDEX('[1]Размерная сетка'!$B$2:$B$40,MATCH('[1]Основной сток'!J329,'[1]Размерная сетка'!$A$2:$A$40,0)) &amp; " / US " &amp;
INDEX('[1]Размерная сетка'!$C$2:$C$40,MATCH('[1]Основной сток'!J329,'[1]Размерная сетка'!$A$2:$A$40,0)) &amp; " / см " &amp;
INDEX('[1]Размерная сетка'!$D$2:$D$40,MATCH('[1]Основной сток'!J329,'[1]Размерная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Low Shadow Toe, 553560-052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32" s="8">
        <f>'[1]Основной сток'!L329</f>
        <v>15900</v>
      </c>
      <c r="I332" s="1" t="str" cm="1">
        <f t="array" ref="I332">VLOOKUP(INDEX('[1]Основной сток'!H:H,ROW()-3),[1]Фотки!A:B,2,FALSE)</f>
        <v>https://i.ibb.co/JWpyDBHN/1-1.jpg|https://i.ibb.co/hJxkR6Hn/2.jpg|https://i.ibb.co/5h7LtDTD/3.jpg|https://i.ibb.co/SwQpVVsz/4.jpg</v>
      </c>
      <c r="J332" t="s">
        <v>36</v>
      </c>
      <c r="K332" t="s">
        <v>37</v>
      </c>
      <c r="L332" t="str">
        <f t="shared" si="10"/>
        <v>Женская обувь</v>
      </c>
      <c r="M332" t="s">
        <v>38</v>
      </c>
      <c r="N332" t="s">
        <v>39</v>
      </c>
      <c r="O332" t="str">
        <f>PROPER('[1]Основной сток'!F329)</f>
        <v>Jordan</v>
      </c>
      <c r="P332" t="str">
        <f>'[1]Основной сток'!M329</f>
        <v>Серый</v>
      </c>
      <c r="R332" t="s">
        <v>41</v>
      </c>
      <c r="S332" t="s">
        <v>42</v>
      </c>
      <c r="T332" t="str">
        <f t="shared" si="11"/>
        <v>Кроссовки и кеды</v>
      </c>
      <c r="U332">
        <f>'[1]Основной сток'!J329 - 1</f>
        <v>37</v>
      </c>
      <c r="V332" t="s">
        <v>43</v>
      </c>
      <c r="X332" t="s">
        <v>44</v>
      </c>
      <c r="Y332" t="s">
        <v>45</v>
      </c>
    </row>
    <row r="333" spans="1:25" x14ac:dyDescent="0.15">
      <c r="A333" s="6">
        <f>'[1]Основной сток'!A330</f>
        <v>3151751</v>
      </c>
      <c r="B333" t="s">
        <v>33</v>
      </c>
      <c r="D333" t="s">
        <v>34</v>
      </c>
      <c r="E333" t="s">
        <v>35</v>
      </c>
      <c r="F333" s="7" t="str">
        <f>PROPER(LEFT('[1]Основной сток'!I330,FIND(CHAR(10),'[1]Основной сток'!I330&amp;CHAR(10))-1))</f>
        <v>Adidas Gazelle Indoor Light Blue Floral</v>
      </c>
      <c r="G333" t="str">
        <f>F333 &amp; ", " &amp; '[1]Основной сток'!H330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сток'!J330 &amp; " / RU " &amp;
INDEX('[1]Размерная сетка'!$B$2:$B$40,MATCH('[1]Основной сток'!J330,'[1]Размерная сетка'!$A$2:$A$40,0)) &amp; " / US " &amp;
INDEX('[1]Размерная сетка'!$C$2:$C$40,MATCH('[1]Основной сток'!J330,'[1]Размерная сетка'!$A$2:$A$40,0)) &amp; " / см " &amp;
INDEX('[1]Размерная сетка'!$D$2:$D$40,MATCH('[1]Основной сток'!J330,'[1]Размерная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Indoor Light Blue Floral, IF4491
• В наличии в Москве
• Оригинал, можно проверить при получении
• Совершенно новые, полный комплект
• Размер: EU 40,5 / RU 39,5 / US 9 / см 25,3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33" s="8">
        <f>'[1]Основной сток'!L330</f>
        <v>20000</v>
      </c>
      <c r="I333" s="1" t="str" cm="1">
        <f t="array" ref="I333">VLOOKUP(INDEX('[1]Основной сток'!H:H,ROW()-3),[1]Фотки!A:B,2,FALSE)</f>
        <v>https://i.ibb.co/0p4W2ZQF/1-1.jpg|https://i.ibb.co/rRfZ8HWN/2.jpg|https://i.ibb.co/Pvc4zWft/3.jpg|https://i.ibb.co/NcrjyJT/4.jpg</v>
      </c>
      <c r="J333" t="s">
        <v>36</v>
      </c>
      <c r="K333" t="s">
        <v>37</v>
      </c>
      <c r="L333" t="str">
        <f t="shared" si="10"/>
        <v>Женская обувь</v>
      </c>
      <c r="M333" t="s">
        <v>38</v>
      </c>
      <c r="N333" t="s">
        <v>39</v>
      </c>
      <c r="O333" t="str">
        <f>PROPER('[1]Основной сток'!F330)</f>
        <v>Adidas</v>
      </c>
      <c r="P333" t="str">
        <f>'[1]Основной сток'!M330</f>
        <v>Голубой</v>
      </c>
      <c r="R333" t="s">
        <v>41</v>
      </c>
      <c r="S333" t="s">
        <v>42</v>
      </c>
      <c r="T333" t="str">
        <f t="shared" si="11"/>
        <v>Кроссовки и кеды</v>
      </c>
      <c r="U333">
        <f>'[1]Основной сток'!J330 - 1</f>
        <v>39.5</v>
      </c>
      <c r="V333" t="s">
        <v>43</v>
      </c>
      <c r="X333" t="s">
        <v>44</v>
      </c>
      <c r="Y333" t="s">
        <v>45</v>
      </c>
    </row>
    <row r="334" spans="1:25" x14ac:dyDescent="0.15">
      <c r="A334" s="6">
        <f>'[1]Основной сток'!A331</f>
        <v>3151752</v>
      </c>
      <c r="B334" t="s">
        <v>33</v>
      </c>
      <c r="D334" t="s">
        <v>34</v>
      </c>
      <c r="E334" t="s">
        <v>35</v>
      </c>
      <c r="F334" s="7" t="str">
        <f>PROPER(LEFT('[1]Основной сток'!I331,FIND(CHAR(10),'[1]Основной сток'!I331&amp;CHAR(10))-1))</f>
        <v>Mexico 66 'Chrome Silver'</v>
      </c>
      <c r="G334" t="str">
        <f>F334 &amp; ", " &amp; '[1]Основной сток'!H331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сток'!J331 &amp; " / RU " &amp;
INDEX('[1]Размерная сетка'!$B$2:$B$40,MATCH('[1]Основной сток'!J331,'[1]Размерная сетка'!$A$2:$A$40,0)) &amp; " / US " &amp;
INDEX('[1]Размерная сетка'!$C$2:$C$40,MATCH('[1]Основной сток'!J331,'[1]Размерная сетка'!$A$2:$A$40,0)) &amp; " / см " &amp;
INDEX('[1]Размерная сетка'!$D$2:$D$40,MATCH('[1]Основной сток'!J331,'[1]Размерная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Mexico 66 'Chrome Silver', THL7C2-9399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34" s="8">
        <f>'[1]Основной сток'!L331</f>
        <v>25000</v>
      </c>
      <c r="I334" s="1" t="str" cm="1">
        <f t="array" ref="I334">VLOOKUP(INDEX('[1]Основной сток'!H:H,ROW()-3),[1]Фотки!A:B,2,FALSE)</f>
        <v>https://i.ibb.co/vCDtBwZw/1.jpg</v>
      </c>
      <c r="J334" t="s">
        <v>36</v>
      </c>
      <c r="K334" t="s">
        <v>37</v>
      </c>
      <c r="L334" t="str">
        <f t="shared" si="10"/>
        <v>Женская обувь</v>
      </c>
      <c r="M334" t="s">
        <v>38</v>
      </c>
      <c r="N334" t="s">
        <v>39</v>
      </c>
      <c r="O334" t="str">
        <f>PROPER('[1]Основной сток'!F331)</f>
        <v>Asics</v>
      </c>
      <c r="P334" t="str">
        <f>'[1]Основной сток'!M331</f>
        <v>Серый</v>
      </c>
      <c r="R334" t="s">
        <v>41</v>
      </c>
      <c r="S334" t="s">
        <v>42</v>
      </c>
      <c r="T334" t="str">
        <f t="shared" si="11"/>
        <v>Кроссовки и кеды</v>
      </c>
      <c r="U334">
        <f>'[1]Основной сток'!J331 - 1</f>
        <v>38</v>
      </c>
      <c r="V334" t="s">
        <v>43</v>
      </c>
      <c r="X334" t="s">
        <v>44</v>
      </c>
      <c r="Y334" t="s">
        <v>45</v>
      </c>
    </row>
    <row r="335" spans="1:25" x14ac:dyDescent="0.15">
      <c r="A335" s="6">
        <f>'[1]Основной сток'!A332</f>
        <v>3171706</v>
      </c>
      <c r="B335" t="s">
        <v>33</v>
      </c>
      <c r="D335" t="s">
        <v>34</v>
      </c>
      <c r="E335" t="s">
        <v>35</v>
      </c>
      <c r="F335" s="7" t="str">
        <f>PROPER(LEFT('[1]Основной сток'!I332,FIND(CHAR(10),'[1]Основной сток'!I332&amp;CHAR(10))-1))</f>
        <v>Sporty &amp; Rich X Handball Spezial 'Auburn Gum'</v>
      </c>
      <c r="G335" t="str">
        <f>F335 &amp; ", " &amp; '[1]Основной сток'!H332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сток'!J332 &amp; " / RU " &amp;
INDEX('[1]Размерная сетка'!$B$2:$B$40,MATCH('[1]Основной сток'!J332,'[1]Размерная сетка'!$A$2:$A$40,0)) &amp; " / US " &amp;
INDEX('[1]Размерная сетка'!$C$2:$C$40,MATCH('[1]Основной сток'!J332,'[1]Размерная сетка'!$A$2:$A$40,0)) &amp; " / см " &amp;
INDEX('[1]Размерная сетка'!$D$2:$D$40,MATCH('[1]Основной сток'!J332,'[1]Размерная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Sporty &amp; Rich X Handball Spezial 'Auburn Gum', IH2612
• В наличии в Москве
• Оригинал, можно проверить при получении
• Совершенно новые, полный комплект
• Размер: EU 36 / RU 35 / US 5,5 / см 22,5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35" s="8">
        <f>'[1]Основной сток'!L332</f>
        <v>30000</v>
      </c>
      <c r="I335" s="1" t="str" cm="1">
        <f t="array" ref="I335">VLOOKUP(INDEX('[1]Основной сток'!H:H,ROW()-3),[1]Фотки!A:B,2,FALSE)</f>
        <v>https://i.ibb.co/mggFwmF/1.jpg|https://i.ibb.co/TD8gW8rk/2.jpg|https://i.ibb.co/b5sgQVL9/3.jpg|https://i.ibb.co/VpS1QWqd/4.jpg</v>
      </c>
      <c r="J335" t="s">
        <v>36</v>
      </c>
      <c r="K335" t="s">
        <v>37</v>
      </c>
      <c r="L335" t="str">
        <f t="shared" si="10"/>
        <v>Женская обувь</v>
      </c>
      <c r="M335" t="s">
        <v>38</v>
      </c>
      <c r="N335" t="s">
        <v>39</v>
      </c>
      <c r="O335" t="str">
        <f>PROPER('[1]Основной сток'!F332)</f>
        <v>Adidas</v>
      </c>
      <c r="P335" t="str">
        <f>'[1]Основной сток'!M332</f>
        <v>Коричневый</v>
      </c>
      <c r="R335" t="s">
        <v>41</v>
      </c>
      <c r="S335" t="s">
        <v>42</v>
      </c>
      <c r="T335" t="str">
        <f t="shared" si="11"/>
        <v>Кроссовки и кеды</v>
      </c>
      <c r="U335">
        <f>'[1]Основной сток'!J332 - 1</f>
        <v>35</v>
      </c>
      <c r="V335" t="s">
        <v>43</v>
      </c>
      <c r="X335" t="s">
        <v>44</v>
      </c>
      <c r="Y335" t="s">
        <v>45</v>
      </c>
    </row>
    <row r="336" spans="1:25" x14ac:dyDescent="0.15">
      <c r="A336" s="6">
        <f>'[1]Основной сток'!A333</f>
        <v>3171712</v>
      </c>
      <c r="B336" t="s">
        <v>33</v>
      </c>
      <c r="D336" t="s">
        <v>34</v>
      </c>
      <c r="E336" t="s">
        <v>35</v>
      </c>
      <c r="F336" s="7" t="str">
        <f>PROPER(LEFT('[1]Основной сток'!I333,FIND(CHAR(10),'[1]Основной сток'!I333&amp;CHAR(10))-1))</f>
        <v>Adidas Samba Sporty And Rich Burgundy</v>
      </c>
      <c r="G336" t="str">
        <f>F336 &amp; ", " &amp; '[1]Основной сток'!H333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сток'!J333 &amp; " / RU " &amp;
INDEX('[1]Размерная сетка'!$B$2:$B$40,MATCH('[1]Основной сток'!J333,'[1]Размерная сетка'!$A$2:$A$40,0)) &amp; " / US " &amp;
INDEX('[1]Размерная сетка'!$C$2:$C$40,MATCH('[1]Основной сток'!J333,'[1]Размерная сетка'!$A$2:$A$40,0)) &amp; " / см " &amp;
INDEX('[1]Размерная сетка'!$D$2:$D$40,MATCH('[1]Основной сток'!J333,'[1]Размерная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Sporty And Rich Burgundy, IF5660
• В наличии в Москве
• Оригинал, можно проверить при получении
• Совершенно новые, полный комплект
• Размер: EU 37 / RU 36 / US 6,5 / см 23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36" s="8">
        <f>'[1]Основной сток'!L333</f>
        <v>29000</v>
      </c>
      <c r="I336" s="1" t="str" cm="1">
        <f t="array" ref="I336">VLOOKUP(INDEX('[1]Основной сток'!H:H,ROW()-3),[1]Фотки!A:B,2,FALSE)</f>
        <v>https://i.ibb.co/gbHftkTB/1-1.jpg|https://i.ibb.co/5tqNFrx/2.jpg|https://i.ibb.co/LhPJtCf8/3.jpg|https://i.ibb.co/wFyZ7Nzc/4.jpg</v>
      </c>
      <c r="J336" t="s">
        <v>36</v>
      </c>
      <c r="K336" t="s">
        <v>37</v>
      </c>
      <c r="L336" t="str">
        <f t="shared" si="10"/>
        <v>Женская обувь</v>
      </c>
      <c r="M336" t="s">
        <v>38</v>
      </c>
      <c r="N336" t="s">
        <v>39</v>
      </c>
      <c r="O336" t="str">
        <f>PROPER('[1]Основной сток'!F333)</f>
        <v>Adidas</v>
      </c>
      <c r="P336" t="str">
        <f>'[1]Основной сток'!M333</f>
        <v>Красный</v>
      </c>
      <c r="R336" t="s">
        <v>41</v>
      </c>
      <c r="S336" t="s">
        <v>42</v>
      </c>
      <c r="T336" t="str">
        <f t="shared" si="11"/>
        <v>Кроссовки и кеды</v>
      </c>
      <c r="U336">
        <f>'[1]Основной сток'!J333 - 1</f>
        <v>36</v>
      </c>
      <c r="V336" t="s">
        <v>43</v>
      </c>
      <c r="X336" t="s">
        <v>44</v>
      </c>
      <c r="Y336" t="s">
        <v>45</v>
      </c>
    </row>
    <row r="337" spans="1:25" x14ac:dyDescent="0.15">
      <c r="A337" s="6">
        <f>'[1]Основной сток'!A334</f>
        <v>3171713</v>
      </c>
      <c r="B337" t="s">
        <v>33</v>
      </c>
      <c r="D337" t="s">
        <v>34</v>
      </c>
      <c r="E337" t="s">
        <v>35</v>
      </c>
      <c r="F337" s="7" t="str">
        <f>PROPER(LEFT('[1]Основной сток'!I334,FIND(CHAR(10),'[1]Основной сток'!I334&amp;CHAR(10))-1))</f>
        <v>Adidas Samba Sporty And Rich Burgundy</v>
      </c>
      <c r="G337" t="str">
        <f>F337 &amp; ", " &amp; '[1]Основной сток'!H334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сток'!J334 &amp; " / RU " &amp;
INDEX('[1]Размерная сетка'!$B$2:$B$40,MATCH('[1]Основной сток'!J334,'[1]Размерная сетка'!$A$2:$A$40,0)) &amp; " / US " &amp;
INDEX('[1]Размерная сетка'!$C$2:$C$40,MATCH('[1]Основной сток'!J334,'[1]Размерная сетка'!$A$2:$A$40,0)) &amp; " / см " &amp;
INDEX('[1]Размерная сетка'!$D$2:$D$40,MATCH('[1]Основной сток'!J334,'[1]Размерная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Sporty And Rich Burgundy, IF5660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37" s="8">
        <f>'[1]Основной сток'!L334</f>
        <v>29000</v>
      </c>
      <c r="I337" s="1" t="str" cm="1">
        <f t="array" ref="I337">VLOOKUP(INDEX('[1]Основной сток'!H:H,ROW()-3),[1]Фотки!A:B,2,FALSE)</f>
        <v>https://i.ibb.co/gbHftkTB/1-1.jpg|https://i.ibb.co/5tqNFrx/2.jpg|https://i.ibb.co/LhPJtCf8/3.jpg|https://i.ibb.co/wFyZ7Nzc/4.jpg</v>
      </c>
      <c r="J337" t="s">
        <v>36</v>
      </c>
      <c r="K337" t="s">
        <v>37</v>
      </c>
      <c r="L337" t="str">
        <f t="shared" si="10"/>
        <v>Женская обувь</v>
      </c>
      <c r="M337" t="s">
        <v>38</v>
      </c>
      <c r="N337" t="s">
        <v>39</v>
      </c>
      <c r="O337" t="str">
        <f>PROPER('[1]Основной сток'!F334)</f>
        <v>Adidas</v>
      </c>
      <c r="P337" t="str">
        <f>'[1]Основной сток'!M334</f>
        <v>Красный</v>
      </c>
      <c r="R337" t="s">
        <v>41</v>
      </c>
      <c r="S337" t="s">
        <v>42</v>
      </c>
      <c r="T337" t="str">
        <f t="shared" si="11"/>
        <v>Кроссовки и кеды</v>
      </c>
      <c r="U337">
        <f>'[1]Основной сток'!J334 - 1</f>
        <v>38</v>
      </c>
      <c r="V337" t="s">
        <v>43</v>
      </c>
      <c r="X337" t="s">
        <v>44</v>
      </c>
      <c r="Y337" t="s">
        <v>45</v>
      </c>
    </row>
    <row r="338" spans="1:25" x14ac:dyDescent="0.15">
      <c r="A338" s="6">
        <f>'[1]Основной сток'!A335</f>
        <v>3171715</v>
      </c>
      <c r="B338" t="s">
        <v>33</v>
      </c>
      <c r="D338" t="s">
        <v>34</v>
      </c>
      <c r="E338" t="s">
        <v>35</v>
      </c>
      <c r="F338" s="7" t="str">
        <f>PROPER(LEFT('[1]Основной сток'!I335,FIND(CHAR(10),'[1]Основной сток'!I335&amp;CHAR(10))-1))</f>
        <v>Adidas Samba Sporty And Rich Burgundy</v>
      </c>
      <c r="G338" t="str">
        <f>F338 &amp; ", " &amp; '[1]Основной сток'!H335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сток'!J335 &amp; " / RU " &amp;
INDEX('[1]Размерная сетка'!$B$2:$B$40,MATCH('[1]Основной сток'!J335,'[1]Размерная сетка'!$A$2:$A$40,0)) &amp; " / US " &amp;
INDEX('[1]Размерная сетка'!$C$2:$C$40,MATCH('[1]Основной сток'!J335,'[1]Размерная сетка'!$A$2:$A$40,0)) &amp; " / см " &amp;
INDEX('[1]Размерная сетка'!$D$2:$D$40,MATCH('[1]Основной сток'!J335,'[1]Размерная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Sporty And Rich Burgundy, IF5660
• В наличии в Москве
• Оригинал, можно проверить при получении
• Совершенно новые, полный комплект
• Размер: EU 40,5 / RU 39,5 / US 9 / см 25,3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38" s="8">
        <f>'[1]Основной сток'!L335</f>
        <v>29000</v>
      </c>
      <c r="I338" s="1" t="str" cm="1">
        <f t="array" ref="I338">VLOOKUP(INDEX('[1]Основной сток'!H:H,ROW()-3),[1]Фотки!A:B,2,FALSE)</f>
        <v>https://i.ibb.co/gbHftkTB/1-1.jpg|https://i.ibb.co/5tqNFrx/2.jpg|https://i.ibb.co/LhPJtCf8/3.jpg|https://i.ibb.co/wFyZ7Nzc/4.jpg</v>
      </c>
      <c r="J338" t="s">
        <v>36</v>
      </c>
      <c r="K338" t="s">
        <v>37</v>
      </c>
      <c r="L338" t="str">
        <f t="shared" si="10"/>
        <v>Женская обувь</v>
      </c>
      <c r="M338" t="s">
        <v>38</v>
      </c>
      <c r="N338" t="s">
        <v>39</v>
      </c>
      <c r="O338" t="str">
        <f>PROPER('[1]Основной сток'!F335)</f>
        <v>Adidas</v>
      </c>
      <c r="P338" t="str">
        <f>'[1]Основной сток'!M335</f>
        <v>Красный</v>
      </c>
      <c r="R338" t="s">
        <v>41</v>
      </c>
      <c r="S338" t="s">
        <v>42</v>
      </c>
      <c r="T338" t="str">
        <f t="shared" si="11"/>
        <v>Кроссовки и кеды</v>
      </c>
      <c r="U338">
        <f>'[1]Основной сток'!J335 - 1</f>
        <v>39.5</v>
      </c>
      <c r="V338" t="s">
        <v>43</v>
      </c>
      <c r="X338" t="s">
        <v>44</v>
      </c>
      <c r="Y338" t="s">
        <v>45</v>
      </c>
    </row>
    <row r="339" spans="1:25" x14ac:dyDescent="0.15">
      <c r="A339" s="6">
        <f>'[1]Основной сток'!A336</f>
        <v>3171716</v>
      </c>
      <c r="B339" t="s">
        <v>33</v>
      </c>
      <c r="D339" t="s">
        <v>34</v>
      </c>
      <c r="E339" t="s">
        <v>35</v>
      </c>
      <c r="F339" s="7" t="str">
        <f>PROPER(LEFT('[1]Основной сток'!I336,FIND(CHAR(10),'[1]Основной сток'!I336&amp;CHAR(10))-1))</f>
        <v>Adidas Gazelle «Bliss Pink Purple»</v>
      </c>
      <c r="G339" t="str">
        <f>F339 &amp; ", " &amp; '[1]Основной сток'!H336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сток'!J336 &amp; " / RU " &amp;
INDEX('[1]Размерная сетка'!$B$2:$B$40,MATCH('[1]Основной сток'!J336,'[1]Размерная сетка'!$A$2:$A$40,0)) &amp; " / US " &amp;
INDEX('[1]Размерная сетка'!$C$2:$C$40,MATCH('[1]Основной сток'!J336,'[1]Размерная сетка'!$A$2:$A$40,0)) &amp; " / см " &amp;
INDEX('[1]Размерная сетка'!$D$2:$D$40,MATCH('[1]Основной сток'!J336,'[1]Размерная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«Bliss Pink Purple», IE7002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39" s="8">
        <f>'[1]Основной сток'!L336</f>
        <v>24000</v>
      </c>
      <c r="I339" s="1" t="str" cm="1">
        <f t="array" ref="I339">VLOOKUP(INDEX('[1]Основной сток'!H:H,ROW()-3),[1]Фотки!A:B,2,FALSE)</f>
        <v>https://i.ibb.co/XrmBVZfg/1.jpg|https://i.ibb.co/F4tFSCsM/2.jpg|https://i.ibb.co/7x2rn3TV/3.jpg|https://i.ibb.co/8D5KXGZt/4.jpg</v>
      </c>
      <c r="J339" t="s">
        <v>36</v>
      </c>
      <c r="K339" t="s">
        <v>37</v>
      </c>
      <c r="L339" t="str">
        <f t="shared" si="10"/>
        <v>Женская обувь</v>
      </c>
      <c r="M339" t="s">
        <v>38</v>
      </c>
      <c r="N339" t="s">
        <v>39</v>
      </c>
      <c r="O339" t="str">
        <f>PROPER('[1]Основной сток'!F336)</f>
        <v>Adidas</v>
      </c>
      <c r="P339" t="str">
        <f>'[1]Основной сток'!M336</f>
        <v>Розовый</v>
      </c>
      <c r="R339" t="s">
        <v>41</v>
      </c>
      <c r="S339" t="s">
        <v>42</v>
      </c>
      <c r="T339" t="str">
        <f t="shared" si="11"/>
        <v>Кроссовки и кеды</v>
      </c>
      <c r="U339">
        <f>'[1]Основной сток'!J336 - 1</f>
        <v>39</v>
      </c>
      <c r="V339" t="s">
        <v>43</v>
      </c>
      <c r="X339" t="s">
        <v>44</v>
      </c>
      <c r="Y339" t="s">
        <v>45</v>
      </c>
    </row>
    <row r="340" spans="1:25" x14ac:dyDescent="0.15">
      <c r="A340" s="6">
        <f>'[1]Основной сток'!A337</f>
        <v>3171717</v>
      </c>
      <c r="B340" t="s">
        <v>33</v>
      </c>
      <c r="D340" t="s">
        <v>34</v>
      </c>
      <c r="E340" t="s">
        <v>35</v>
      </c>
      <c r="F340" s="7" t="str">
        <f>PROPER(LEFT('[1]Основной сток'!I337,FIND(CHAR(10),'[1]Основной сток'!I337&amp;CHAR(10))-1))</f>
        <v>Adidas Gazelle «Bliss Pink Purple»</v>
      </c>
      <c r="G340" t="str">
        <f>F340 &amp; ", " &amp; '[1]Основной сток'!H337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сток'!J337 &amp; " / RU " &amp;
INDEX('[1]Размерная сетка'!$B$2:$B$40,MATCH('[1]Основной сток'!J337,'[1]Размерная сетка'!$A$2:$A$40,0)) &amp; " / US " &amp;
INDEX('[1]Размерная сетка'!$C$2:$C$40,MATCH('[1]Основной сток'!J337,'[1]Размерная сетка'!$A$2:$A$40,0)) &amp; " / см " &amp;
INDEX('[1]Размерная сетка'!$D$2:$D$40,MATCH('[1]Основной сток'!J337,'[1]Размерная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«Bliss Pink Purple», IE7002
• В наличии в Москве
• Оригинал, можно проверить при получении
• Совершенно новые, полный комплект
• Размер: EU 40,5 / RU 39,5 / US 9 / см 25,3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40" s="8">
        <f>'[1]Основной сток'!L337</f>
        <v>24000</v>
      </c>
      <c r="I340" s="1" t="str" cm="1">
        <f t="array" ref="I340">VLOOKUP(INDEX('[1]Основной сток'!H:H,ROW()-3),[1]Фотки!A:B,2,FALSE)</f>
        <v>https://i.ibb.co/XrmBVZfg/1.jpg|https://i.ibb.co/F4tFSCsM/2.jpg|https://i.ibb.co/7x2rn3TV/3.jpg|https://i.ibb.co/8D5KXGZt/4.jpg</v>
      </c>
      <c r="J340" t="s">
        <v>36</v>
      </c>
      <c r="K340" t="s">
        <v>37</v>
      </c>
      <c r="L340" t="str">
        <f t="shared" si="10"/>
        <v>Женская обувь</v>
      </c>
      <c r="M340" t="s">
        <v>38</v>
      </c>
      <c r="N340" t="s">
        <v>39</v>
      </c>
      <c r="O340" t="str">
        <f>PROPER('[1]Основной сток'!F337)</f>
        <v>Adidas</v>
      </c>
      <c r="P340" t="str">
        <f>'[1]Основной сток'!M337</f>
        <v>Розовый</v>
      </c>
      <c r="R340" t="s">
        <v>41</v>
      </c>
      <c r="S340" t="s">
        <v>42</v>
      </c>
      <c r="T340" t="str">
        <f t="shared" si="11"/>
        <v>Кроссовки и кеды</v>
      </c>
      <c r="U340">
        <f>'[1]Основной сток'!J337 - 1</f>
        <v>39.5</v>
      </c>
      <c r="V340" t="s">
        <v>43</v>
      </c>
      <c r="X340" t="s">
        <v>44</v>
      </c>
      <c r="Y340" t="s">
        <v>45</v>
      </c>
    </row>
    <row r="341" spans="1:25" x14ac:dyDescent="0.15">
      <c r="A341" s="6">
        <f>'[1]Основной сток'!A338</f>
        <v>3171727</v>
      </c>
      <c r="B341" t="s">
        <v>33</v>
      </c>
      <c r="D341" t="s">
        <v>34</v>
      </c>
      <c r="E341" t="s">
        <v>35</v>
      </c>
      <c r="F341" s="7" t="str">
        <f>PROPER(LEFT('[1]Основной сток'!I338,FIND(CHAR(10),'[1]Основной сток'!I338&amp;CHAR(10))-1))</f>
        <v>Wmns Handball Spezial 'Clear Pink Arctic Night'</v>
      </c>
      <c r="G341" t="str">
        <f>F341 &amp; ", " &amp; '[1]Основной сток'!H338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сток'!J338 &amp; " / RU " &amp;
INDEX('[1]Размерная сетка'!$B$2:$B$40,MATCH('[1]Основной сток'!J338,'[1]Размерная сетка'!$A$2:$A$40,0)) &amp; " / US " &amp;
INDEX('[1]Размерная сетка'!$C$2:$C$40,MATCH('[1]Основной сток'!J338,'[1]Размерная сетка'!$A$2:$A$40,0)) &amp; " / см " &amp;
INDEX('[1]Размерная сетка'!$D$2:$D$40,MATCH('[1]Основной сток'!J338,'[1]Размерная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Wmns Handball Spezial 'Clear Pink Arctic Night', IF6561
• В наличии в Москве
• Оригинал, можно проверить при получении
• Совершенно новые, полный комплект
• Размер: EU 37 / RU 36 / US 6,5 / см 23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41" s="8">
        <f>'[1]Основной сток'!L338</f>
        <v>20000</v>
      </c>
      <c r="I341" s="1" t="str" cm="1">
        <f t="array" ref="I341">VLOOKUP(INDEX('[1]Основной сток'!H:H,ROW()-3),[1]Фотки!A:B,2,FALSE)</f>
        <v>https://i.ibb.co/czC3dZN/1.jpg</v>
      </c>
      <c r="J341" t="s">
        <v>36</v>
      </c>
      <c r="K341" t="s">
        <v>37</v>
      </c>
      <c r="L341" t="str">
        <f t="shared" si="10"/>
        <v>Женская обувь</v>
      </c>
      <c r="M341" t="s">
        <v>38</v>
      </c>
      <c r="N341" t="s">
        <v>39</v>
      </c>
      <c r="O341" t="str">
        <f>PROPER('[1]Основной сток'!F338)</f>
        <v>Adidas</v>
      </c>
      <c r="P341" t="str">
        <f>'[1]Основной сток'!M338</f>
        <v>Розовый</v>
      </c>
      <c r="R341" t="s">
        <v>41</v>
      </c>
      <c r="S341" t="s">
        <v>42</v>
      </c>
      <c r="T341" t="str">
        <f t="shared" si="11"/>
        <v>Кроссовки и кеды</v>
      </c>
      <c r="U341">
        <f>'[1]Основной сток'!J338 - 1</f>
        <v>36</v>
      </c>
      <c r="V341" t="s">
        <v>43</v>
      </c>
      <c r="X341" t="s">
        <v>44</v>
      </c>
      <c r="Y341" t="s">
        <v>45</v>
      </c>
    </row>
    <row r="342" spans="1:25" x14ac:dyDescent="0.15">
      <c r="A342" s="6">
        <f>'[1]Основной сток'!A339</f>
        <v>3187484</v>
      </c>
      <c r="B342" t="s">
        <v>33</v>
      </c>
      <c r="D342" t="s">
        <v>34</v>
      </c>
      <c r="E342" t="s">
        <v>35</v>
      </c>
      <c r="F342" s="7" t="str">
        <f>PROPER(LEFT('[1]Основной сток'!I339,FIND(CHAR(10),'[1]Основной сток'!I339&amp;CHAR(10))-1))</f>
        <v>Wmns Dunk Low 'Safari Print Pack - Phantom'</v>
      </c>
      <c r="G342" t="str">
        <f>F342 &amp; ", " &amp; '[1]Основной сток'!H339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сток'!J339 &amp; " / RU " &amp;
INDEX('[1]Размерная сетка'!$B$2:$B$40,MATCH('[1]Основной сток'!J339,'[1]Размерная сетка'!$A$2:$A$40,0)) &amp; " / US " &amp;
INDEX('[1]Размерная сетка'!$C$2:$C$40,MATCH('[1]Основной сток'!J339,'[1]Размерная сетка'!$A$2:$A$40,0)) &amp; " / см " &amp;
INDEX('[1]Размерная сетка'!$D$2:$D$40,MATCH('[1]Основной сток'!J339,'[1]Размерная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Wmns Dunk Low 'Safari Print Pack - Phantom', FV6516 001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42" s="8">
        <f>'[1]Основной сток'!L339</f>
        <v>10000</v>
      </c>
      <c r="I342" s="1" t="str" cm="1">
        <f t="array" ref="I342">VLOOKUP(INDEX('[1]Основной сток'!H:H,ROW()-3),[1]Фотки!A:B,2,FALSE)</f>
        <v>https://i.ibb.co/Lz98CtSw/1.jpg|https://i.ibb.co/JWRWR1s2/2.jpg|https://i.ibb.co/qV6XtwD/3.jpg|https://i.ibb.co/qYhXgsX0/4.jpg</v>
      </c>
      <c r="J342" t="s">
        <v>36</v>
      </c>
      <c r="K342" t="s">
        <v>37</v>
      </c>
      <c r="L342" t="str">
        <f t="shared" si="10"/>
        <v>Женская обувь</v>
      </c>
      <c r="M342" t="s">
        <v>38</v>
      </c>
      <c r="N342" t="s">
        <v>39</v>
      </c>
      <c r="O342" t="str">
        <f>PROPER('[1]Основной сток'!F339)</f>
        <v>Nike</v>
      </c>
      <c r="P342" t="str">
        <f>'[1]Основной сток'!M339</f>
        <v>Серый</v>
      </c>
      <c r="R342" t="s">
        <v>41</v>
      </c>
      <c r="S342" t="s">
        <v>42</v>
      </c>
      <c r="T342" t="str">
        <f t="shared" si="11"/>
        <v>Кроссовки и кеды</v>
      </c>
      <c r="U342">
        <f>'[1]Основной сток'!J339 - 1</f>
        <v>37.5</v>
      </c>
      <c r="V342" t="s">
        <v>43</v>
      </c>
      <c r="X342" t="s">
        <v>44</v>
      </c>
      <c r="Y342" t="s">
        <v>45</v>
      </c>
    </row>
    <row r="343" spans="1:25" x14ac:dyDescent="0.15">
      <c r="A343" s="6">
        <f>'[1]Основной сток'!A340</f>
        <v>3189898</v>
      </c>
      <c r="B343" t="s">
        <v>33</v>
      </c>
      <c r="D343" t="s">
        <v>34</v>
      </c>
      <c r="E343" t="s">
        <v>35</v>
      </c>
      <c r="F343" s="7" t="str">
        <f>PROPER(LEFT('[1]Основной сток'!I340,FIND(CHAR(10),'[1]Основной сток'!I340&amp;CHAR(10))-1))</f>
        <v xml:space="preserve">Adidas Gazelle Indoor Shadow Fig </v>
      </c>
      <c r="G343" t="str">
        <f>F343 &amp; ", " &amp; '[1]Основной сток'!H340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сток'!J340 &amp; " / RU " &amp;
INDEX('[1]Размерная сетка'!$B$2:$B$40,MATCH('[1]Основной сток'!J340,'[1]Размерная сетка'!$A$2:$A$40,0)) &amp; " / US " &amp;
INDEX('[1]Размерная сетка'!$C$2:$C$40,MATCH('[1]Основной сток'!J340,'[1]Размерная сетка'!$A$2:$A$40,0)) &amp; " / см " &amp;
INDEX('[1]Размерная сетка'!$D$2:$D$40,MATCH('[1]Основной сток'!J340,'[1]Размерная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Indoor Shadow Fig , IH5483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43" s="8">
        <f>'[1]Основной сток'!L340</f>
        <v>21000</v>
      </c>
      <c r="I343" s="1" t="str" cm="1">
        <f t="array" ref="I343">VLOOKUP(INDEX('[1]Основной сток'!H:H,ROW()-3),[1]Фотки!A:B,2,FALSE)</f>
        <v>https://i.ibb.co/SDS9RDDQ/1-1.jpg|https://i.ibb.co/JM58Mqf/2.jpg|https://i.ibb.co/XxHCzShW/3.jpg|https://i.ibb.co/B5XZm5G9/4.jpg</v>
      </c>
      <c r="J343" t="s">
        <v>36</v>
      </c>
      <c r="K343" t="s">
        <v>37</v>
      </c>
      <c r="L343" t="str">
        <f t="shared" si="10"/>
        <v>Женская обувь</v>
      </c>
      <c r="M343" t="s">
        <v>38</v>
      </c>
      <c r="N343" t="s">
        <v>39</v>
      </c>
      <c r="O343" t="str">
        <f>PROPER('[1]Основной сток'!F340)</f>
        <v>Adidas</v>
      </c>
      <c r="P343" t="str">
        <f>'[1]Основной сток'!M340</f>
        <v>Фиолетовый</v>
      </c>
      <c r="R343" t="s">
        <v>41</v>
      </c>
      <c r="S343" t="s">
        <v>42</v>
      </c>
      <c r="T343" t="str">
        <f t="shared" si="11"/>
        <v>Кроссовки и кеды</v>
      </c>
      <c r="U343">
        <f>'[1]Основной сток'!J340 - 1</f>
        <v>38</v>
      </c>
      <c r="V343" t="s">
        <v>43</v>
      </c>
      <c r="X343" t="s">
        <v>44</v>
      </c>
      <c r="Y343" t="s">
        <v>45</v>
      </c>
    </row>
    <row r="344" spans="1:25" x14ac:dyDescent="0.15">
      <c r="A344" s="6">
        <f>'[1]Основной сток'!A341</f>
        <v>3205682</v>
      </c>
      <c r="B344" t="s">
        <v>33</v>
      </c>
      <c r="D344" t="s">
        <v>34</v>
      </c>
      <c r="E344" t="s">
        <v>35</v>
      </c>
      <c r="F344" s="7" t="str">
        <f>PROPER(LEFT('[1]Основной сток'!I341,FIND(CHAR(10),'[1]Основной сток'!I341&amp;CHAR(10))-1))</f>
        <v>Jordan 1 Retro Low Og 'Mocha'</v>
      </c>
      <c r="G344" t="str">
        <f>F344 &amp; ", " &amp; '[1]Основной сток'!H341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сток'!J341 &amp; " / RU " &amp;
INDEX('[1]Размерная сетка'!$B$2:$B$40,MATCH('[1]Основной сток'!J341,'[1]Размерная сетка'!$A$2:$A$40,0)) &amp; " / US " &amp;
INDEX('[1]Размерная сетка'!$C$2:$C$40,MATCH('[1]Основной сток'!J341,'[1]Размерная сетка'!$A$2:$A$40,0)) &amp; " / см " &amp;
INDEX('[1]Размерная сетка'!$D$2:$D$40,MATCH('[1]Основной сток'!J341,'[1]Размерная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Retro Low Og 'Mocha', CZ0790-102
• В наличии в Москве
• Оригинал, можно проверить при получении
• Совершенно новые, полный комплект
• Размер: EU 45 / RU 44 / US 11 / см 28,3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44" s="8">
        <f>'[1]Основной сток'!L341</f>
        <v>28000</v>
      </c>
      <c r="I344" s="1" t="str" cm="1">
        <f t="array" ref="I344">VLOOKUP(INDEX('[1]Основной сток'!H:H,ROW()-3),[1]Фотки!A:B,2,FALSE)</f>
        <v>https://i.ibb.co/QjPkwQtd/1-1.jpg|https://i.ibb.co/YB6Bdsfh/2.jpg|https://i.ibb.co/jvbcH7gd/3.jpg|https://i.ibb.co/XZPdSYqj/4.jpg</v>
      </c>
      <c r="J344" t="s">
        <v>36</v>
      </c>
      <c r="K344" t="s">
        <v>37</v>
      </c>
      <c r="L344" t="str">
        <f t="shared" si="10"/>
        <v>Мужская обувь</v>
      </c>
      <c r="M344" t="s">
        <v>38</v>
      </c>
      <c r="N344" t="s">
        <v>39</v>
      </c>
      <c r="O344" t="str">
        <f>PROPER('[1]Основной сток'!F341)</f>
        <v>Jordan</v>
      </c>
      <c r="P344" t="str">
        <f>'[1]Основной сток'!M341</f>
        <v>Черный</v>
      </c>
      <c r="R344" t="s">
        <v>41</v>
      </c>
      <c r="S344" t="s">
        <v>42</v>
      </c>
      <c r="T344" t="str">
        <f t="shared" si="11"/>
        <v>Кроссовки</v>
      </c>
      <c r="U344">
        <f>'[1]Основной сток'!J341 - 1</f>
        <v>44</v>
      </c>
      <c r="V344" t="s">
        <v>43</v>
      </c>
      <c r="X344" t="s">
        <v>44</v>
      </c>
      <c r="Y344" t="s">
        <v>45</v>
      </c>
    </row>
    <row r="345" spans="1:25" x14ac:dyDescent="0.15">
      <c r="A345" s="6">
        <f>'[1]Основной сток'!A342</f>
        <v>3205688</v>
      </c>
      <c r="B345" t="s">
        <v>33</v>
      </c>
      <c r="D345" t="s">
        <v>34</v>
      </c>
      <c r="E345" t="s">
        <v>35</v>
      </c>
      <c r="F345" s="7" t="str">
        <f>PROPER(LEFT('[1]Основной сток'!I342,FIND(CHAR(10),'[1]Основной сток'!I342&amp;CHAR(10))-1))</f>
        <v>Adidas Wmns Samba Og 'Black Embroidered Floral'</v>
      </c>
      <c r="G345" t="str">
        <f>F345 &amp; ", " &amp; '[1]Основной сток'!H342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сток'!J342 &amp; " / RU " &amp;
INDEX('[1]Размерная сетка'!$B$2:$B$40,MATCH('[1]Основной сток'!J342,'[1]Размерная сетка'!$A$2:$A$40,0)) &amp; " / US " &amp;
INDEX('[1]Размерная сетка'!$C$2:$C$40,MATCH('[1]Основной сток'!J342,'[1]Размерная сетка'!$A$2:$A$40,0)) &amp; " / см " &amp;
INDEX('[1]Размерная сетка'!$D$2:$D$40,MATCH('[1]Основной сток'!J342,'[1]Размерная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Wmns Samba Og 'Black Embroidered Floral', IF4397
• В наличии в Москве
• Оригинал, можно проверить при получении
• Совершенно новые, полный комплект
• Размер: EU 36,5 / RU 35,5 / US 6 / см 22,7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45" s="8">
        <f>'[1]Основной сток'!L342</f>
        <v>24900</v>
      </c>
      <c r="I345" s="1" t="str" cm="1">
        <f t="array" ref="I345">VLOOKUP(INDEX('[1]Основной сток'!H:H,ROW()-3),[1]Фотки!A:B,2,FALSE)</f>
        <v>https://i.ibb.co/fVy9QwF4/1-1.jpg|https://i.ibb.co/27KTJ6Y5/2.jpg|https://i.ibb.co/ksyknyrL/3.jpg|https://i.ibb.co/rKGsgwg1/4.jpg</v>
      </c>
      <c r="J345" t="s">
        <v>36</v>
      </c>
      <c r="K345" t="s">
        <v>37</v>
      </c>
      <c r="L345" t="str">
        <f t="shared" si="10"/>
        <v>Женская обувь</v>
      </c>
      <c r="M345" t="s">
        <v>38</v>
      </c>
      <c r="N345" t="s">
        <v>39</v>
      </c>
      <c r="O345" t="str">
        <f>PROPER('[1]Основной сток'!F342)</f>
        <v>Adidas</v>
      </c>
      <c r="P345" t="str">
        <f>'[1]Основной сток'!M342</f>
        <v>Черный</v>
      </c>
      <c r="R345" t="s">
        <v>41</v>
      </c>
      <c r="S345" t="s">
        <v>42</v>
      </c>
      <c r="T345" t="str">
        <f t="shared" si="11"/>
        <v>Кроссовки и кеды</v>
      </c>
      <c r="U345">
        <f>'[1]Основной сток'!J342 - 1</f>
        <v>35.5</v>
      </c>
      <c r="V345" t="s">
        <v>43</v>
      </c>
      <c r="X345" t="s">
        <v>44</v>
      </c>
      <c r="Y345" t="s">
        <v>45</v>
      </c>
    </row>
    <row r="346" spans="1:25" x14ac:dyDescent="0.15">
      <c r="A346" s="6">
        <f>'[1]Основной сток'!A343</f>
        <v>3205689</v>
      </c>
      <c r="B346" t="s">
        <v>33</v>
      </c>
      <c r="D346" t="s">
        <v>34</v>
      </c>
      <c r="E346" t="s">
        <v>35</v>
      </c>
      <c r="F346" s="7" t="str">
        <f>PROPER(LEFT('[1]Основной сток'!I343,FIND(CHAR(10),'[1]Основной сток'!I343&amp;CHAR(10))-1))</f>
        <v>Adidas Wmns Samba Og 'Black Embroidered Floral'</v>
      </c>
      <c r="G346" t="str">
        <f>F346 &amp; ", " &amp; '[1]Основной сток'!H343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сток'!J343 &amp; " / RU " &amp;
INDEX('[1]Размерная сетка'!$B$2:$B$40,MATCH('[1]Основной сток'!J343,'[1]Размерная сетка'!$A$2:$A$40,0)) &amp; " / US " &amp;
INDEX('[1]Размерная сетка'!$C$2:$C$40,MATCH('[1]Основной сток'!J343,'[1]Размерная сетка'!$A$2:$A$40,0)) &amp; " / см " &amp;
INDEX('[1]Размерная сетка'!$D$2:$D$40,MATCH('[1]Основной сток'!J343,'[1]Размерная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Wmns Samba Og 'Black Embroidered Floral', IF4397
• В наличии в Москве
• Оригинал, можно проверить при получении
• Совершенно новые, полный комплект
• Размер: EU 37 / RU 36 / US 6,5 / см 23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46" s="8">
        <f>'[1]Основной сток'!L343</f>
        <v>24900</v>
      </c>
      <c r="I346" s="1" t="str" cm="1">
        <f t="array" ref="I346">VLOOKUP(INDEX('[1]Основной сток'!H:H,ROW()-3),[1]Фотки!A:B,2,FALSE)</f>
        <v>https://i.ibb.co/fVy9QwF4/1-1.jpg|https://i.ibb.co/27KTJ6Y5/2.jpg|https://i.ibb.co/ksyknyrL/3.jpg|https://i.ibb.co/rKGsgwg1/4.jpg</v>
      </c>
      <c r="J346" t="s">
        <v>36</v>
      </c>
      <c r="K346" t="s">
        <v>37</v>
      </c>
      <c r="L346" t="str">
        <f t="shared" si="10"/>
        <v>Женская обувь</v>
      </c>
      <c r="M346" t="s">
        <v>38</v>
      </c>
      <c r="N346" t="s">
        <v>39</v>
      </c>
      <c r="O346" t="str">
        <f>PROPER('[1]Основной сток'!F343)</f>
        <v>Adidas</v>
      </c>
      <c r="P346" t="str">
        <f>'[1]Основной сток'!M343</f>
        <v>Черный</v>
      </c>
      <c r="R346" t="s">
        <v>41</v>
      </c>
      <c r="S346" t="s">
        <v>42</v>
      </c>
      <c r="T346" t="str">
        <f t="shared" si="11"/>
        <v>Кроссовки и кеды</v>
      </c>
      <c r="U346">
        <f>'[1]Основной сток'!J343 - 1</f>
        <v>36</v>
      </c>
      <c r="V346" t="s">
        <v>43</v>
      </c>
      <c r="X346" t="s">
        <v>44</v>
      </c>
      <c r="Y346" t="s">
        <v>45</v>
      </c>
    </row>
    <row r="347" spans="1:25" x14ac:dyDescent="0.15">
      <c r="A347" s="6">
        <f>'[1]Основной сток'!A344</f>
        <v>3205690</v>
      </c>
      <c r="B347" t="s">
        <v>33</v>
      </c>
      <c r="D347" t="s">
        <v>34</v>
      </c>
      <c r="E347" t="s">
        <v>35</v>
      </c>
      <c r="F347" s="7" t="str">
        <f>PROPER(LEFT('[1]Основной сток'!I344,FIND(CHAR(10),'[1]Основной сток'!I344&amp;CHAR(10))-1))</f>
        <v>Adidas Wmns Samba Og 'Black Embroidered Floral'</v>
      </c>
      <c r="G347" t="str">
        <f>F347 &amp; ", " &amp; '[1]Основной сток'!H344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сток'!J344 &amp; " / RU " &amp;
INDEX('[1]Размерная сетка'!$B$2:$B$40,MATCH('[1]Основной сток'!J344,'[1]Размерная сетка'!$A$2:$A$40,0)) &amp; " / US " &amp;
INDEX('[1]Размерная сетка'!$C$2:$C$40,MATCH('[1]Основной сток'!J344,'[1]Размерная сетка'!$A$2:$A$40,0)) &amp; " / см " &amp;
INDEX('[1]Размерная сетка'!$D$2:$D$40,MATCH('[1]Основной сток'!J344,'[1]Размерная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Wmns Samba Og 'Black Embroidered Floral', IF4397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47" s="8">
        <f>'[1]Основной сток'!L344</f>
        <v>24900</v>
      </c>
      <c r="I347" s="1" t="str" cm="1">
        <f t="array" ref="I347">VLOOKUP(INDEX('[1]Основной сток'!H:H,ROW()-3),[1]Фотки!A:B,2,FALSE)</f>
        <v>https://i.ibb.co/fVy9QwF4/1-1.jpg|https://i.ibb.co/27KTJ6Y5/2.jpg|https://i.ibb.co/ksyknyrL/3.jpg|https://i.ibb.co/rKGsgwg1/4.jpg</v>
      </c>
      <c r="J347" t="s">
        <v>36</v>
      </c>
      <c r="K347" t="s">
        <v>37</v>
      </c>
      <c r="L347" t="str">
        <f t="shared" si="10"/>
        <v>Женская обувь</v>
      </c>
      <c r="M347" t="s">
        <v>38</v>
      </c>
      <c r="N347" t="s">
        <v>39</v>
      </c>
      <c r="O347" t="str">
        <f>PROPER('[1]Основной сток'!F344)</f>
        <v>Adidas</v>
      </c>
      <c r="P347" t="str">
        <f>'[1]Основной сток'!M344</f>
        <v>Черный</v>
      </c>
      <c r="R347" t="s">
        <v>41</v>
      </c>
      <c r="S347" t="s">
        <v>42</v>
      </c>
      <c r="T347" t="str">
        <f t="shared" si="11"/>
        <v>Кроссовки и кеды</v>
      </c>
      <c r="U347">
        <f>'[1]Основной сток'!J344 - 1</f>
        <v>37</v>
      </c>
      <c r="V347" t="s">
        <v>43</v>
      </c>
      <c r="X347" t="s">
        <v>44</v>
      </c>
      <c r="Y347" t="s">
        <v>45</v>
      </c>
    </row>
    <row r="348" spans="1:25" x14ac:dyDescent="0.15">
      <c r="A348" s="6">
        <f>'[1]Основной сток'!A345</f>
        <v>3205691</v>
      </c>
      <c r="B348" t="s">
        <v>33</v>
      </c>
      <c r="D348" t="s">
        <v>34</v>
      </c>
      <c r="E348" t="s">
        <v>35</v>
      </c>
      <c r="F348" s="7" t="str">
        <f>PROPER(LEFT('[1]Основной сток'!I345,FIND(CHAR(10),'[1]Основной сток'!I345&amp;CHAR(10))-1))</f>
        <v>Adidas Wmns Samba Og 'Black Embroidered Floral'</v>
      </c>
      <c r="G348" t="str">
        <f>F348 &amp; ", " &amp; '[1]Основной сток'!H345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сток'!J345 &amp; " / RU " &amp;
INDEX('[1]Размерная сетка'!$B$2:$B$40,MATCH('[1]Основной сток'!J345,'[1]Размерная сетка'!$A$2:$A$40,0)) &amp; " / US " &amp;
INDEX('[1]Размерная сетка'!$C$2:$C$40,MATCH('[1]Основной сток'!J345,'[1]Размерная сетка'!$A$2:$A$40,0)) &amp; " / см " &amp;
INDEX('[1]Размерная сетка'!$D$2:$D$40,MATCH('[1]Основной сток'!J345,'[1]Размерная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Wmns Samba Og 'Black Embroidered Floral', IF4397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48" s="8">
        <f>'[1]Основной сток'!L345</f>
        <v>24900</v>
      </c>
      <c r="I348" s="1" t="str" cm="1">
        <f t="array" ref="I348">VLOOKUP(INDEX('[1]Основной сток'!H:H,ROW()-3),[1]Фотки!A:B,2,FALSE)</f>
        <v>https://i.ibb.co/fVy9QwF4/1-1.jpg|https://i.ibb.co/27KTJ6Y5/2.jpg|https://i.ibb.co/ksyknyrL/3.jpg|https://i.ibb.co/rKGsgwg1/4.jpg</v>
      </c>
      <c r="J348" t="s">
        <v>36</v>
      </c>
      <c r="K348" t="s">
        <v>37</v>
      </c>
      <c r="L348" t="str">
        <f t="shared" si="10"/>
        <v>Женская обувь</v>
      </c>
      <c r="M348" t="s">
        <v>38</v>
      </c>
      <c r="N348" t="s">
        <v>39</v>
      </c>
      <c r="O348" t="str">
        <f>PROPER('[1]Основной сток'!F345)</f>
        <v>Adidas</v>
      </c>
      <c r="P348" t="str">
        <f>'[1]Основной сток'!M345</f>
        <v>Черный</v>
      </c>
      <c r="R348" t="s">
        <v>41</v>
      </c>
      <c r="S348" t="s">
        <v>42</v>
      </c>
      <c r="T348" t="str">
        <f t="shared" si="11"/>
        <v>Кроссовки и кеды</v>
      </c>
      <c r="U348">
        <f>'[1]Основной сток'!J345 - 1</f>
        <v>37.5</v>
      </c>
      <c r="V348" t="s">
        <v>43</v>
      </c>
      <c r="X348" t="s">
        <v>44</v>
      </c>
      <c r="Y348" t="s">
        <v>45</v>
      </c>
    </row>
    <row r="349" spans="1:25" x14ac:dyDescent="0.15">
      <c r="A349" s="6">
        <f>'[1]Основной сток'!A346</f>
        <v>3205693</v>
      </c>
      <c r="B349" t="s">
        <v>33</v>
      </c>
      <c r="D349" t="s">
        <v>34</v>
      </c>
      <c r="E349" t="s">
        <v>35</v>
      </c>
      <c r="F349" s="7" t="str">
        <f>PROPER(LEFT('[1]Основной сток'!I346,FIND(CHAR(10),'[1]Основной сток'!I346&amp;CHAR(10))-1))</f>
        <v>Adidas Gazelle «Bliss Pink Purple»</v>
      </c>
      <c r="G349" t="str">
        <f>F349 &amp; ", " &amp; '[1]Основной сток'!H346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сток'!J346 &amp; " / RU " &amp;
INDEX('[1]Размерная сетка'!$B$2:$B$40,MATCH('[1]Основной сток'!J346,'[1]Размерная сетка'!$A$2:$A$40,0)) &amp; " / US " &amp;
INDEX('[1]Размерная сетка'!$C$2:$C$40,MATCH('[1]Основной сток'!J346,'[1]Размерная сетка'!$A$2:$A$40,0)) &amp; " / см " &amp;
INDEX('[1]Размерная сетка'!$D$2:$D$40,MATCH('[1]Основной сток'!J346,'[1]Размерная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«Bliss Pink Purple», IE7002
• В наличии в Москве
• Оригинал, можно проверить при получении
• Совершенно новые, полный комплект
• Размер: EU 36,5 / RU 35,5 / US 6 / см 22,7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49" s="8">
        <f>'[1]Основной сток'!L346</f>
        <v>24000</v>
      </c>
      <c r="I349" s="1" t="str" cm="1">
        <f t="array" ref="I349">VLOOKUP(INDEX('[1]Основной сток'!H:H,ROW()-3),[1]Фотки!A:B,2,FALSE)</f>
        <v>https://i.ibb.co/XrmBVZfg/1.jpg|https://i.ibb.co/F4tFSCsM/2.jpg|https://i.ibb.co/7x2rn3TV/3.jpg|https://i.ibb.co/8D5KXGZt/4.jpg</v>
      </c>
      <c r="J349" t="s">
        <v>36</v>
      </c>
      <c r="K349" t="s">
        <v>37</v>
      </c>
      <c r="L349" t="str">
        <f t="shared" si="10"/>
        <v>Женская обувь</v>
      </c>
      <c r="M349" t="s">
        <v>38</v>
      </c>
      <c r="N349" t="s">
        <v>39</v>
      </c>
      <c r="O349" t="str">
        <f>PROPER('[1]Основной сток'!F346)</f>
        <v>Adidas</v>
      </c>
      <c r="P349" t="str">
        <f>'[1]Основной сток'!M346</f>
        <v>Розовый</v>
      </c>
      <c r="R349" t="s">
        <v>41</v>
      </c>
      <c r="S349" t="s">
        <v>42</v>
      </c>
      <c r="T349" t="str">
        <f t="shared" si="11"/>
        <v>Кроссовки и кеды</v>
      </c>
      <c r="U349">
        <f>'[1]Основной сток'!J346 - 1</f>
        <v>35.5</v>
      </c>
      <c r="V349" t="s">
        <v>43</v>
      </c>
      <c r="X349" t="s">
        <v>44</v>
      </c>
      <c r="Y349" t="s">
        <v>45</v>
      </c>
    </row>
    <row r="350" spans="1:25" x14ac:dyDescent="0.15">
      <c r="A350" s="6">
        <f>'[1]Основной сток'!A347</f>
        <v>3205694</v>
      </c>
      <c r="B350" t="s">
        <v>33</v>
      </c>
      <c r="D350" t="s">
        <v>34</v>
      </c>
      <c r="E350" t="s">
        <v>35</v>
      </c>
      <c r="F350" s="7" t="str">
        <f>PROPER(LEFT('[1]Основной сток'!I347,FIND(CHAR(10),'[1]Основной сток'!I347&amp;CHAR(10))-1))</f>
        <v>Adidas Gazelle «Bliss Pink Purple»</v>
      </c>
      <c r="G350" t="str">
        <f>F350 &amp; ", " &amp; '[1]Основной сток'!H347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сток'!J347 &amp; " / RU " &amp;
INDEX('[1]Размерная сетка'!$B$2:$B$40,MATCH('[1]Основной сток'!J347,'[1]Размерная сетка'!$A$2:$A$40,0)) &amp; " / US " &amp;
INDEX('[1]Размерная сетка'!$C$2:$C$40,MATCH('[1]Основной сток'!J347,'[1]Размерная сетка'!$A$2:$A$40,0)) &amp; " / см " &amp;
INDEX('[1]Размерная сетка'!$D$2:$D$40,MATCH('[1]Основной сток'!J347,'[1]Размерная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«Bliss Pink Purple», IE7002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50" s="8">
        <f>'[1]Основной сток'!L347</f>
        <v>24000</v>
      </c>
      <c r="I350" s="1" t="str" cm="1">
        <f t="array" ref="I350">VLOOKUP(INDEX('[1]Основной сток'!H:H,ROW()-3),[1]Фотки!A:B,2,FALSE)</f>
        <v>https://i.ibb.co/XrmBVZfg/1.jpg|https://i.ibb.co/F4tFSCsM/2.jpg|https://i.ibb.co/7x2rn3TV/3.jpg|https://i.ibb.co/8D5KXGZt/4.jpg</v>
      </c>
      <c r="J350" t="s">
        <v>36</v>
      </c>
      <c r="K350" t="s">
        <v>37</v>
      </c>
      <c r="L350" t="str">
        <f t="shared" si="10"/>
        <v>Женская обувь</v>
      </c>
      <c r="M350" t="s">
        <v>38</v>
      </c>
      <c r="N350" t="s">
        <v>39</v>
      </c>
      <c r="O350" t="str">
        <f>PROPER('[1]Основной сток'!F347)</f>
        <v>Adidas</v>
      </c>
      <c r="P350" t="str">
        <f>'[1]Основной сток'!M347</f>
        <v>Розовый</v>
      </c>
      <c r="R350" t="s">
        <v>41</v>
      </c>
      <c r="S350" t="s">
        <v>42</v>
      </c>
      <c r="T350" t="str">
        <f t="shared" si="11"/>
        <v>Кроссовки и кеды</v>
      </c>
      <c r="U350">
        <f>'[1]Основной сток'!J347 - 1</f>
        <v>39</v>
      </c>
      <c r="V350" t="s">
        <v>43</v>
      </c>
      <c r="X350" t="s">
        <v>44</v>
      </c>
      <c r="Y350" t="s">
        <v>45</v>
      </c>
    </row>
    <row r="351" spans="1:25" x14ac:dyDescent="0.15">
      <c r="A351" s="6">
        <f>'[1]Основной сток'!A348</f>
        <v>3205695</v>
      </c>
      <c r="B351" t="s">
        <v>33</v>
      </c>
      <c r="D351" t="s">
        <v>34</v>
      </c>
      <c r="E351" t="s">
        <v>35</v>
      </c>
      <c r="F351" s="7" t="str">
        <f>PROPER(LEFT('[1]Основной сток'!I348,FIND(CHAR(10),'[1]Основной сток'!I348&amp;CHAR(10))-1))</f>
        <v>Adidas Gazelle «Bliss Pink Purple»</v>
      </c>
      <c r="G351" t="str">
        <f>F351 &amp; ", " &amp; '[1]Основной сток'!H348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сток'!J348 &amp; " / RU " &amp;
INDEX('[1]Размерная сетка'!$B$2:$B$40,MATCH('[1]Основной сток'!J348,'[1]Размерная сетка'!$A$2:$A$40,0)) &amp; " / US " &amp;
INDEX('[1]Размерная сетка'!$C$2:$C$40,MATCH('[1]Основной сток'!J348,'[1]Размерная сетка'!$A$2:$A$40,0)) &amp; " / см " &amp;
INDEX('[1]Размерная сетка'!$D$2:$D$40,MATCH('[1]Основной сток'!J348,'[1]Размерная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«Bliss Pink Purple», IE7002
• В наличии в Москве
• Оригинал, можно проверить при получении
• Совершенно новые, полный комплект
• Размер: EU 40,5 / RU 39,5 / US 9 / см 25,3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51" s="8">
        <f>'[1]Основной сток'!L348</f>
        <v>24000</v>
      </c>
      <c r="I351" s="1" t="str" cm="1">
        <f t="array" ref="I351">VLOOKUP(INDEX('[1]Основной сток'!H:H,ROW()-3),[1]Фотки!A:B,2,FALSE)</f>
        <v>https://i.ibb.co/XrmBVZfg/1.jpg|https://i.ibb.co/F4tFSCsM/2.jpg|https://i.ibb.co/7x2rn3TV/3.jpg|https://i.ibb.co/8D5KXGZt/4.jpg</v>
      </c>
      <c r="J351" t="s">
        <v>36</v>
      </c>
      <c r="K351" t="s">
        <v>37</v>
      </c>
      <c r="L351" t="str">
        <f t="shared" si="10"/>
        <v>Женская обувь</v>
      </c>
      <c r="M351" t="s">
        <v>38</v>
      </c>
      <c r="N351" t="s">
        <v>39</v>
      </c>
      <c r="O351" t="str">
        <f>PROPER('[1]Основной сток'!F348)</f>
        <v>Adidas</v>
      </c>
      <c r="P351" t="str">
        <f>'[1]Основной сток'!M348</f>
        <v>Розовый</v>
      </c>
      <c r="R351" t="s">
        <v>41</v>
      </c>
      <c r="S351" t="s">
        <v>42</v>
      </c>
      <c r="T351" t="str">
        <f t="shared" si="11"/>
        <v>Кроссовки и кеды</v>
      </c>
      <c r="U351">
        <f>'[1]Основной сток'!J348 - 1</f>
        <v>39.5</v>
      </c>
      <c r="V351" t="s">
        <v>43</v>
      </c>
      <c r="X351" t="s">
        <v>44</v>
      </c>
      <c r="Y351" t="s">
        <v>45</v>
      </c>
    </row>
    <row r="352" spans="1:25" x14ac:dyDescent="0.15">
      <c r="A352" s="6">
        <f>'[1]Основной сток'!A349</f>
        <v>3205696</v>
      </c>
      <c r="B352" t="s">
        <v>33</v>
      </c>
      <c r="D352" t="s">
        <v>34</v>
      </c>
      <c r="E352" t="s">
        <v>35</v>
      </c>
      <c r="F352" s="7" t="str">
        <f>PROPER(LEFT('[1]Основной сток'!I349,FIND(CHAR(10),'[1]Основной сток'!I349&amp;CHAR(10))-1))</f>
        <v>Adidas Gazelle Earth Strata</v>
      </c>
      <c r="G352" t="str">
        <f>F352 &amp; ", " &amp; '[1]Основной сток'!H349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сток'!J349 &amp; " / RU " &amp;
INDEX('[1]Размерная сетка'!$B$2:$B$40,MATCH('[1]Основной сток'!J349,'[1]Размерная сетка'!$A$2:$A$40,0)) &amp; " / US " &amp;
INDEX('[1]Размерная сетка'!$C$2:$C$40,MATCH('[1]Основной сток'!J349,'[1]Размерная сетка'!$A$2:$A$40,0)) &amp; " / см " &amp;
INDEX('[1]Размерная сетка'!$D$2:$D$40,MATCH('[1]Основной сток'!J349,'[1]Размерная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Earth Strata, IE3693
• В наличии в Москве
• Оригинал, можно проверить при получении
• Совершенно новые, полный комплект
• Размер: EU 36,5 / RU 35,5 / US 6 / см 22,7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52" s="8">
        <f>'[1]Основной сток'!L349</f>
        <v>20000</v>
      </c>
      <c r="I352" s="1" t="str" cm="1">
        <f t="array" ref="I352">VLOOKUP(INDEX('[1]Основной сток'!H:H,ROW()-3),[1]Фотки!A:B,2,FALSE)</f>
        <v>https://i.ibb.co/5JCTzcn/1.jpg</v>
      </c>
      <c r="J352" t="s">
        <v>36</v>
      </c>
      <c r="K352" t="s">
        <v>37</v>
      </c>
      <c r="L352" t="str">
        <f t="shared" si="10"/>
        <v>Женская обувь</v>
      </c>
      <c r="M352" t="s">
        <v>38</v>
      </c>
      <c r="N352" t="s">
        <v>39</v>
      </c>
      <c r="O352" t="str">
        <f>PROPER('[1]Основной сток'!F349)</f>
        <v>Adidas</v>
      </c>
      <c r="P352" t="str">
        <f>'[1]Основной сток'!M349</f>
        <v>Коричневый</v>
      </c>
      <c r="R352" t="s">
        <v>41</v>
      </c>
      <c r="S352" t="s">
        <v>42</v>
      </c>
      <c r="T352" t="str">
        <f t="shared" si="11"/>
        <v>Кроссовки и кеды</v>
      </c>
      <c r="U352">
        <f>'[1]Основной сток'!J349 - 1</f>
        <v>35.5</v>
      </c>
      <c r="V352" t="s">
        <v>43</v>
      </c>
      <c r="X352" t="s">
        <v>44</v>
      </c>
      <c r="Y352" t="s">
        <v>45</v>
      </c>
    </row>
    <row r="353" spans="1:25" x14ac:dyDescent="0.15">
      <c r="A353" s="6">
        <f>'[1]Основной сток'!A350</f>
        <v>3205697</v>
      </c>
      <c r="B353" t="s">
        <v>33</v>
      </c>
      <c r="D353" t="s">
        <v>34</v>
      </c>
      <c r="E353" t="s">
        <v>35</v>
      </c>
      <c r="F353" s="7" t="str">
        <f>PROPER(LEFT('[1]Основной сток'!I350,FIND(CHAR(10),'[1]Основной сток'!I350&amp;CHAR(10))-1))</f>
        <v>Adidas Gazelle Earth Strata</v>
      </c>
      <c r="G353" t="str">
        <f>F353 &amp; ", " &amp; '[1]Основной сток'!H350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сток'!J350 &amp; " / RU " &amp;
INDEX('[1]Размерная сетка'!$B$2:$B$40,MATCH('[1]Основной сток'!J350,'[1]Размерная сетка'!$A$2:$A$40,0)) &amp; " / US " &amp;
INDEX('[1]Размерная сетка'!$C$2:$C$40,MATCH('[1]Основной сток'!J350,'[1]Размерная сетка'!$A$2:$A$40,0)) &amp; " / см " &amp;
INDEX('[1]Размерная сетка'!$D$2:$D$40,MATCH('[1]Основной сток'!J350,'[1]Размерная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Earth Strata, IE3693
• В наличии в Москве
• Оригинал, можно проверить при получении
• Совершенно новые, полный комплект
• Размер: EU 37 / RU 36 / US 6,5 / см 23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53" s="8">
        <f>'[1]Основной сток'!L350</f>
        <v>20000</v>
      </c>
      <c r="I353" s="1" t="str" cm="1">
        <f t="array" ref="I353">VLOOKUP(INDEX('[1]Основной сток'!H:H,ROW()-3),[1]Фотки!A:B,2,FALSE)</f>
        <v>https://i.ibb.co/5JCTzcn/1.jpg</v>
      </c>
      <c r="J353" t="s">
        <v>36</v>
      </c>
      <c r="K353" t="s">
        <v>37</v>
      </c>
      <c r="L353" t="str">
        <f t="shared" si="10"/>
        <v>Женская обувь</v>
      </c>
      <c r="M353" t="s">
        <v>38</v>
      </c>
      <c r="N353" t="s">
        <v>39</v>
      </c>
      <c r="O353" t="str">
        <f>PROPER('[1]Основной сток'!F350)</f>
        <v>Adidas</v>
      </c>
      <c r="P353" t="str">
        <f>'[1]Основной сток'!M350</f>
        <v>Коричневый</v>
      </c>
      <c r="R353" t="s">
        <v>41</v>
      </c>
      <c r="S353" t="s">
        <v>42</v>
      </c>
      <c r="T353" t="str">
        <f t="shared" si="11"/>
        <v>Кроссовки и кеды</v>
      </c>
      <c r="U353">
        <f>'[1]Основной сток'!J350 - 1</f>
        <v>36</v>
      </c>
      <c r="V353" t="s">
        <v>43</v>
      </c>
      <c r="X353" t="s">
        <v>44</v>
      </c>
      <c r="Y353" t="s">
        <v>45</v>
      </c>
    </row>
    <row r="354" spans="1:25" x14ac:dyDescent="0.15">
      <c r="A354" s="6">
        <f>'[1]Основной сток'!A351</f>
        <v>3205700</v>
      </c>
      <c r="B354" t="s">
        <v>33</v>
      </c>
      <c r="D354" t="s">
        <v>34</v>
      </c>
      <c r="E354" t="s">
        <v>35</v>
      </c>
      <c r="F354" s="7" t="str">
        <f>PROPER(LEFT('[1]Основной сток'!I351,FIND(CHAR(10),'[1]Основной сток'!I351&amp;CHAR(10))-1))</f>
        <v>New Balance 9060 'December Sky'</v>
      </c>
      <c r="G354" t="str">
        <f>F354 &amp; ", " &amp; '[1]Основной сток'!H351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сток'!J351 &amp; " / RU " &amp;
INDEX('[1]Размерная сетка'!$B$2:$B$40,MATCH('[1]Основной сток'!J351,'[1]Размерная сетка'!$A$2:$A$40,0)) &amp; " / US " &amp;
INDEX('[1]Размерная сетка'!$C$2:$C$40,MATCH('[1]Основной сток'!J351,'[1]Размерная сетка'!$A$2:$A$40,0)) &amp; " / см " &amp;
INDEX('[1]Размерная сетка'!$D$2:$D$40,MATCH('[1]Основной сток'!J351,'[1]Размерная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9060 'December Sky', U9060HSP
• В наличии в Москве
• Оригинал, можно проверить при получении
• Совершенно новые, полный комплект
• Размер: EU 37,5 / RU 36,5 / US 6,5-7 / см 23,3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54" s="8">
        <f>'[1]Основной сток'!L351</f>
        <v>24000</v>
      </c>
      <c r="I354" s="1" t="str" cm="1">
        <f t="array" ref="I354">VLOOKUP(INDEX('[1]Основной сток'!H:H,ROW()-3),[1]Фотки!A:B,2,FALSE)</f>
        <v>https://i.ibb.co/bgxdxzhT/1-1.jpg|https://i.ibb.co/fdmWVyrT/2.jpg|https://i.ibb.co/PZJ6XK1Z/3.jpg|https://i.ibb.co/9m4xFhtb/4.jpg</v>
      </c>
      <c r="J354" t="s">
        <v>36</v>
      </c>
      <c r="K354" t="s">
        <v>37</v>
      </c>
      <c r="L354" t="str">
        <f t="shared" si="10"/>
        <v>Женская обувь</v>
      </c>
      <c r="M354" t="s">
        <v>38</v>
      </c>
      <c r="N354" t="s">
        <v>39</v>
      </c>
      <c r="O354" t="str">
        <f>PROPER('[1]Основной сток'!F351)</f>
        <v>New Balance</v>
      </c>
      <c r="P354" t="str">
        <f>'[1]Основной сток'!M351</f>
        <v>Розовый</v>
      </c>
      <c r="R354" t="s">
        <v>41</v>
      </c>
      <c r="S354" t="s">
        <v>42</v>
      </c>
      <c r="T354" t="str">
        <f t="shared" si="11"/>
        <v>Кроссовки и кеды</v>
      </c>
      <c r="U354">
        <f>'[1]Основной сток'!J351 - 1</f>
        <v>36.5</v>
      </c>
      <c r="V354" t="s">
        <v>43</v>
      </c>
      <c r="X354" t="s">
        <v>44</v>
      </c>
      <c r="Y354" t="s">
        <v>45</v>
      </c>
    </row>
    <row r="355" spans="1:25" x14ac:dyDescent="0.15">
      <c r="A355" s="6">
        <f>'[1]Основной сток'!A352</f>
        <v>3205708</v>
      </c>
      <c r="B355" t="s">
        <v>33</v>
      </c>
      <c r="D355" t="s">
        <v>34</v>
      </c>
      <c r="E355" t="s">
        <v>35</v>
      </c>
      <c r="F355" s="7" t="str">
        <f>PROPER(LEFT('[1]Основной сток'!I352,FIND(CHAR(10),'[1]Основной сток'!I352&amp;CHAR(10))-1))</f>
        <v>Adidas Wmns Handball Spezial 'Clear Pink Arctic Night'</v>
      </c>
      <c r="G355" t="str">
        <f>F355 &amp; ", " &amp; '[1]Основной сток'!H352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сток'!J352 &amp; " / RU " &amp;
INDEX('[1]Размерная сетка'!$B$2:$B$40,MATCH('[1]Основной сток'!J352,'[1]Размерная сетка'!$A$2:$A$40,0)) &amp; " / US " &amp;
INDEX('[1]Размерная сетка'!$C$2:$C$40,MATCH('[1]Основной сток'!J352,'[1]Размерная сетка'!$A$2:$A$40,0)) &amp; " / см " &amp;
INDEX('[1]Размерная сетка'!$D$2:$D$40,MATCH('[1]Основной сток'!J352,'[1]Размерная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Wmns Handball Spezial 'Clear Pink Arctic Night', IF6561
• В наличии в Москве
• Оригинал, можно проверить при получении
• Совершенно новые, полный комплект
• Размер: EU 42 / RU 41 / US 8,5 / см 26,3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55" s="8">
        <f>'[1]Основной сток'!L352</f>
        <v>22000</v>
      </c>
      <c r="I355" s="1" t="str" cm="1">
        <f t="array" ref="I355">VLOOKUP(INDEX('[1]Основной сток'!H:H,ROW()-3),[1]Фотки!A:B,2,FALSE)</f>
        <v>https://i.ibb.co/czC3dZN/1.jpg</v>
      </c>
      <c r="J355" t="s">
        <v>36</v>
      </c>
      <c r="K355" t="s">
        <v>37</v>
      </c>
      <c r="L355" t="str">
        <f t="shared" si="10"/>
        <v>Мужская обувь</v>
      </c>
      <c r="M355" t="s">
        <v>38</v>
      </c>
      <c r="N355" t="s">
        <v>39</v>
      </c>
      <c r="O355" t="str">
        <f>PROPER('[1]Основной сток'!F352)</f>
        <v>Adidas</v>
      </c>
      <c r="P355" t="str">
        <f>'[1]Основной сток'!M352</f>
        <v>Розовый</v>
      </c>
      <c r="R355" t="s">
        <v>41</v>
      </c>
      <c r="S355" t="s">
        <v>42</v>
      </c>
      <c r="T355" t="str">
        <f t="shared" si="11"/>
        <v>Кроссовки</v>
      </c>
      <c r="U355">
        <f>'[1]Основной сток'!J352 - 1</f>
        <v>41</v>
      </c>
      <c r="V355" t="s">
        <v>43</v>
      </c>
      <c r="X355" t="s">
        <v>44</v>
      </c>
      <c r="Y355" t="s">
        <v>45</v>
      </c>
    </row>
    <row r="356" spans="1:25" x14ac:dyDescent="0.15">
      <c r="A356" s="6">
        <f>'[1]Основной сток'!A353</f>
        <v>3205710</v>
      </c>
      <c r="B356" t="s">
        <v>33</v>
      </c>
      <c r="D356" t="s">
        <v>34</v>
      </c>
      <c r="E356" t="s">
        <v>35</v>
      </c>
      <c r="F356" s="7" t="str">
        <f>PROPER(LEFT('[1]Основной сток'!I353,FIND(CHAR(10),'[1]Основной сток'!I353&amp;CHAR(10))-1))</f>
        <v>New Balance 9060 'Magnet'</v>
      </c>
      <c r="G356" t="str">
        <f>F356 &amp; ", " &amp; '[1]Основной сток'!H353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сток'!J353 &amp; " / RU " &amp;
INDEX('[1]Размерная сетка'!$B$2:$B$40,MATCH('[1]Основной сток'!J353,'[1]Размерная сетка'!$A$2:$A$40,0)) &amp; " / US " &amp;
INDEX('[1]Размерная сетка'!$C$2:$C$40,MATCH('[1]Основной сток'!J353,'[1]Размерная сетка'!$A$2:$A$40,0)) &amp; " / см " &amp;
INDEX('[1]Размерная сетка'!$D$2:$D$40,MATCH('[1]Основной сток'!J353,'[1]Размерная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9060 'Magnet', U9060SG
• В наличии в Москве
• Оригинал, можно проверить при получении
• Совершенно новые, полный комплект
• Размер: EU 37,5 / RU 36,5 / US 6,5-7 / см 23,3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56" s="8">
        <f>'[1]Основной сток'!L353</f>
        <v>24000</v>
      </c>
      <c r="I356" s="1" t="str" cm="1">
        <f t="array" ref="I356">VLOOKUP(INDEX('[1]Основной сток'!H:H,ROW()-3),[1]Фотки!A:B,2,FALSE)</f>
        <v>https://i.ibb.co/KpYDsdVq/1-1.jpg</v>
      </c>
      <c r="J356" t="s">
        <v>36</v>
      </c>
      <c r="K356" t="s">
        <v>37</v>
      </c>
      <c r="L356" t="str">
        <f t="shared" si="10"/>
        <v>Женская обувь</v>
      </c>
      <c r="M356" t="s">
        <v>38</v>
      </c>
      <c r="N356" t="s">
        <v>39</v>
      </c>
      <c r="O356" t="str">
        <f>PROPER('[1]Основной сток'!F353)</f>
        <v>New Balance</v>
      </c>
      <c r="P356" t="str">
        <f>'[1]Основной сток'!M353</f>
        <v>Серый</v>
      </c>
      <c r="R356" t="s">
        <v>41</v>
      </c>
      <c r="S356" t="s">
        <v>42</v>
      </c>
      <c r="T356" t="str">
        <f t="shared" si="11"/>
        <v>Кроссовки и кеды</v>
      </c>
      <c r="U356">
        <f>'[1]Основной сток'!J353 - 1</f>
        <v>36.5</v>
      </c>
      <c r="V356" t="s">
        <v>43</v>
      </c>
      <c r="X356" t="s">
        <v>44</v>
      </c>
      <c r="Y356" t="s">
        <v>45</v>
      </c>
    </row>
    <row r="357" spans="1:25" x14ac:dyDescent="0.15">
      <c r="A357" s="6">
        <f>'[1]Основной сток'!A354</f>
        <v>3205714</v>
      </c>
      <c r="B357" t="s">
        <v>33</v>
      </c>
      <c r="D357" t="s">
        <v>34</v>
      </c>
      <c r="E357" t="s">
        <v>35</v>
      </c>
      <c r="F357" s="7" t="str">
        <f>PROPER(LEFT('[1]Основной сток'!I354,FIND(CHAR(10),'[1]Основной сток'!I354&amp;CHAR(10))-1))</f>
        <v>New Balance 9060 Mushroom</v>
      </c>
      <c r="G357" t="str">
        <f>F357 &amp; ", " &amp; '[1]Основной сток'!H354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сток'!J354 &amp; " / RU " &amp;
INDEX('[1]Размерная сетка'!$B$2:$B$40,MATCH('[1]Основной сток'!J354,'[1]Размерная сетка'!$A$2:$A$40,0)) &amp; " / US " &amp;
INDEX('[1]Размерная сетка'!$C$2:$C$40,MATCH('[1]Основной сток'!J354,'[1]Размерная сетка'!$A$2:$A$40,0)) &amp; " / см " &amp;
INDEX('[1]Размерная сетка'!$D$2:$D$40,MATCH('[1]Основной сток'!J354,'[1]Размерная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9060 Mushroom, U9060MUS
• В наличии в Москве
• Оригинал, можно проверить при получении
• Совершенно новые, полный комплект
• Размер: EU 37,5 / RU 36,5 / US 6,5-7 / см 23,3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57" s="8">
        <f>'[1]Основной сток'!L354</f>
        <v>22000</v>
      </c>
      <c r="I357" s="1" t="str" cm="1">
        <f t="array" ref="I357">VLOOKUP(INDEX('[1]Основной сток'!H:H,ROW()-3),[1]Фотки!A:B,2,FALSE)</f>
        <v>https://i.ibb.co/jPvbtCBv/1.jpg|https://i.ibb.co/vnnjx29/2.jpg|https://i.ibb.co/VWX4tcxQ/3.jpg|https://i.ibb.co/bkwSMCn/4.jpg</v>
      </c>
      <c r="J357" t="s">
        <v>36</v>
      </c>
      <c r="K357" t="s">
        <v>37</v>
      </c>
      <c r="L357" t="str">
        <f t="shared" si="10"/>
        <v>Женская обувь</v>
      </c>
      <c r="M357" t="s">
        <v>38</v>
      </c>
      <c r="N357" t="s">
        <v>39</v>
      </c>
      <c r="O357" t="str">
        <f>PROPER('[1]Основной сток'!F354)</f>
        <v>New Balance</v>
      </c>
      <c r="P357" t="str">
        <f>'[1]Основной сток'!M354</f>
        <v>Коричневый</v>
      </c>
      <c r="R357" t="s">
        <v>41</v>
      </c>
      <c r="S357" t="s">
        <v>42</v>
      </c>
      <c r="T357" t="str">
        <f t="shared" si="11"/>
        <v>Кроссовки и кеды</v>
      </c>
      <c r="U357">
        <f>'[1]Основной сток'!J354 - 1</f>
        <v>36.5</v>
      </c>
      <c r="V357" t="s">
        <v>43</v>
      </c>
      <c r="X357" t="s">
        <v>44</v>
      </c>
      <c r="Y357" t="s">
        <v>45</v>
      </c>
    </row>
    <row r="358" spans="1:25" x14ac:dyDescent="0.15">
      <c r="A358" s="6">
        <f>'[1]Основной сток'!A355</f>
        <v>3205715</v>
      </c>
      <c r="B358" t="s">
        <v>33</v>
      </c>
      <c r="D358" t="s">
        <v>34</v>
      </c>
      <c r="E358" t="s">
        <v>35</v>
      </c>
      <c r="F358" s="7" t="str">
        <f>PROPER(LEFT('[1]Основной сток'!I355,FIND(CHAR(10),'[1]Основной сток'!I355&amp;CHAR(10))-1))</f>
        <v>New Balance 9060 Mushroom</v>
      </c>
      <c r="G358" t="str">
        <f>F358 &amp; ", " &amp; '[1]Основной сток'!H355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сток'!J355 &amp; " / RU " &amp;
INDEX('[1]Размерная сетка'!$B$2:$B$40,MATCH('[1]Основной сток'!J355,'[1]Размерная сетка'!$A$2:$A$40,0)) &amp; " / US " &amp;
INDEX('[1]Размерная сетка'!$C$2:$C$40,MATCH('[1]Основной сток'!J355,'[1]Размерная сетка'!$A$2:$A$40,0)) &amp; " / см " &amp;
INDEX('[1]Размерная сетка'!$D$2:$D$40,MATCH('[1]Основной сток'!J355,'[1]Размерная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9060 Mushroom, U9060MUS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58" s="8">
        <f>'[1]Основной сток'!L355</f>
        <v>22000</v>
      </c>
      <c r="I358" s="1" t="str" cm="1">
        <f t="array" ref="I358">VLOOKUP(INDEX('[1]Основной сток'!H:H,ROW()-3),[1]Фотки!A:B,2,FALSE)</f>
        <v>https://i.ibb.co/jPvbtCBv/1.jpg|https://i.ibb.co/vnnjx29/2.jpg|https://i.ibb.co/VWX4tcxQ/3.jpg|https://i.ibb.co/bkwSMCn/4.jpg</v>
      </c>
      <c r="J358" t="s">
        <v>36</v>
      </c>
      <c r="K358" t="s">
        <v>37</v>
      </c>
      <c r="L358" t="str">
        <f t="shared" si="10"/>
        <v>Женская обувь</v>
      </c>
      <c r="M358" t="s">
        <v>38</v>
      </c>
      <c r="N358" t="s">
        <v>39</v>
      </c>
      <c r="O358" t="str">
        <f>PROPER('[1]Основной сток'!F355)</f>
        <v>New Balance</v>
      </c>
      <c r="P358" t="str">
        <f>'[1]Основной сток'!M355</f>
        <v>Коричневый</v>
      </c>
      <c r="R358" t="s">
        <v>41</v>
      </c>
      <c r="S358" t="s">
        <v>42</v>
      </c>
      <c r="T358" t="str">
        <f t="shared" si="11"/>
        <v>Кроссовки и кеды</v>
      </c>
      <c r="U358">
        <f>'[1]Основной сток'!J355 - 1</f>
        <v>37</v>
      </c>
      <c r="V358" t="s">
        <v>43</v>
      </c>
      <c r="X358" t="s">
        <v>44</v>
      </c>
      <c r="Y358" t="s">
        <v>45</v>
      </c>
    </row>
    <row r="359" spans="1:25" x14ac:dyDescent="0.15">
      <c r="A359" s="6">
        <f>'[1]Основной сток'!A356</f>
        <v>3205716</v>
      </c>
      <c r="B359" t="s">
        <v>33</v>
      </c>
      <c r="D359" t="s">
        <v>34</v>
      </c>
      <c r="E359" t="s">
        <v>35</v>
      </c>
      <c r="F359" s="7" t="str">
        <f>PROPER(LEFT('[1]Основной сток'!I356,FIND(CHAR(10),'[1]Основной сток'!I356&amp;CHAR(10))-1))</f>
        <v>New Balance 9060 Mushroom</v>
      </c>
      <c r="G359" t="str">
        <f>F359 &amp; ", " &amp; '[1]Основной сток'!H356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сток'!J356 &amp; " / RU " &amp;
INDEX('[1]Размерная сетка'!$B$2:$B$40,MATCH('[1]Основной сток'!J356,'[1]Размерная сетка'!$A$2:$A$40,0)) &amp; " / US " &amp;
INDEX('[1]Размерная сетка'!$C$2:$C$40,MATCH('[1]Основной сток'!J356,'[1]Размерная сетка'!$A$2:$A$40,0)) &amp; " / см " &amp;
INDEX('[1]Размерная сетка'!$D$2:$D$40,MATCH('[1]Основной сток'!J356,'[1]Размерная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9060 Mushroom, U9060MUS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59" s="8">
        <f>'[1]Основной сток'!L356</f>
        <v>22000</v>
      </c>
      <c r="I359" s="1" t="str" cm="1">
        <f t="array" ref="I359">VLOOKUP(INDEX('[1]Основной сток'!H:H,ROW()-3),[1]Фотки!A:B,2,FALSE)</f>
        <v>https://i.ibb.co/jPvbtCBv/1.jpg|https://i.ibb.co/vnnjx29/2.jpg|https://i.ibb.co/VWX4tcxQ/3.jpg|https://i.ibb.co/bkwSMCn/4.jpg</v>
      </c>
      <c r="J359" t="s">
        <v>36</v>
      </c>
      <c r="K359" t="s">
        <v>37</v>
      </c>
      <c r="L359" t="str">
        <f t="shared" si="10"/>
        <v>Женская обувь</v>
      </c>
      <c r="M359" t="s">
        <v>38</v>
      </c>
      <c r="N359" t="s">
        <v>39</v>
      </c>
      <c r="O359" t="str">
        <f>PROPER('[1]Основной сток'!F356)</f>
        <v>New Balance</v>
      </c>
      <c r="P359" t="str">
        <f>'[1]Основной сток'!M356</f>
        <v>Коричневый</v>
      </c>
      <c r="R359" t="s">
        <v>41</v>
      </c>
      <c r="S359" t="s">
        <v>42</v>
      </c>
      <c r="T359" t="str">
        <f t="shared" si="11"/>
        <v>Кроссовки и кеды</v>
      </c>
      <c r="U359">
        <f>'[1]Основной сток'!J356 - 1</f>
        <v>37.5</v>
      </c>
      <c r="V359" t="s">
        <v>43</v>
      </c>
      <c r="X359" t="s">
        <v>44</v>
      </c>
      <c r="Y359" t="s">
        <v>45</v>
      </c>
    </row>
    <row r="360" spans="1:25" x14ac:dyDescent="0.15">
      <c r="A360" s="6">
        <f>'[1]Основной сток'!A357</f>
        <v>3205721</v>
      </c>
      <c r="B360" t="s">
        <v>33</v>
      </c>
      <c r="D360" t="s">
        <v>34</v>
      </c>
      <c r="E360" t="s">
        <v>35</v>
      </c>
      <c r="F360" s="7" t="str">
        <f>PROPER(LEFT('[1]Основной сток'!I357,FIND(CHAR(10),'[1]Основной сток'!I357&amp;CHAR(10))-1))</f>
        <v>New Balance 1906R White Green Cream</v>
      </c>
      <c r="G360" t="str">
        <f>F360 &amp; ", " &amp; '[1]Основной сток'!H357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сток'!J357 &amp; " / RU " &amp;
INDEX('[1]Размерная сетка'!$B$2:$B$40,MATCH('[1]Основной сток'!J357,'[1]Размерная сетка'!$A$2:$A$40,0)) &amp; " / US " &amp;
INDEX('[1]Размерная сетка'!$C$2:$C$40,MATCH('[1]Основной сток'!J357,'[1]Размерная сетка'!$A$2:$A$40,0)) &amp; " / см " &amp;
INDEX('[1]Размерная сетка'!$D$2:$D$40,MATCH('[1]Основной сток'!J357,'[1]Размерная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1906R White Green Cream, M1906RQ
• В наличии в Москве
• Оригинал, можно проверить при получении
• Совершенно новые, полный комплект
• Размер: EU 39,5 / RU 38,5 / US 8-8,5 / см 24,7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60" s="8">
        <f>'[1]Основной сток'!L357</f>
        <v>20000</v>
      </c>
      <c r="I360" s="1" t="str" cm="1">
        <f t="array" ref="I360">VLOOKUP(INDEX('[1]Основной сток'!H:H,ROW()-3),[1]Фотки!A:B,2,FALSE)</f>
        <v>https://i.ibb.co/G4bWsRzh/1-1.jpg|https://i.ibb.co/j9tv4kXW/2.jpg|https://i.ibb.co/mrFMRXNy/3.jpg|https://i.ibb.co/TMR2mmXd/4.jpg</v>
      </c>
      <c r="J360" t="s">
        <v>36</v>
      </c>
      <c r="K360" t="s">
        <v>37</v>
      </c>
      <c r="L360" t="str">
        <f t="shared" si="10"/>
        <v>Женская обувь</v>
      </c>
      <c r="M360" t="s">
        <v>38</v>
      </c>
      <c r="N360" t="s">
        <v>39</v>
      </c>
      <c r="O360" t="str">
        <f>PROPER('[1]Основной сток'!F357)</f>
        <v>New Balance</v>
      </c>
      <c r="P360" t="str">
        <f>'[1]Основной сток'!M357</f>
        <v>Зелёный</v>
      </c>
      <c r="R360" t="s">
        <v>41</v>
      </c>
      <c r="S360" t="s">
        <v>42</v>
      </c>
      <c r="T360" t="str">
        <f t="shared" si="11"/>
        <v>Кроссовки и кеды</v>
      </c>
      <c r="U360">
        <f>'[1]Основной сток'!J357 - 1</f>
        <v>38.5</v>
      </c>
      <c r="V360" t="s">
        <v>43</v>
      </c>
      <c r="X360" t="s">
        <v>44</v>
      </c>
      <c r="Y360" t="s">
        <v>45</v>
      </c>
    </row>
    <row r="361" spans="1:25" x14ac:dyDescent="0.15">
      <c r="A361" s="6">
        <f>'[1]Основной сток'!A358</f>
        <v>3205722</v>
      </c>
      <c r="B361" t="s">
        <v>33</v>
      </c>
      <c r="D361" t="s">
        <v>34</v>
      </c>
      <c r="E361" t="s">
        <v>35</v>
      </c>
      <c r="F361" s="7" t="str">
        <f>PROPER(LEFT('[1]Основной сток'!I358,FIND(CHAR(10),'[1]Основной сток'!I358&amp;CHAR(10))-1))</f>
        <v>New Balance 1906R White Green Cream</v>
      </c>
      <c r="G361" t="str">
        <f>F361 &amp; ", " &amp; '[1]Основной сток'!H358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сток'!J358 &amp; " / RU " &amp;
INDEX('[1]Размерная сетка'!$B$2:$B$40,MATCH('[1]Основной сток'!J358,'[1]Размерная сетка'!$A$2:$A$40,0)) &amp; " / US " &amp;
INDEX('[1]Размерная сетка'!$C$2:$C$40,MATCH('[1]Основной сток'!J358,'[1]Размерная сетка'!$A$2:$A$40,0)) &amp; " / см " &amp;
INDEX('[1]Размерная сетка'!$D$2:$D$40,MATCH('[1]Основной сток'!J358,'[1]Размерная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1906R White Green Cream, M1906RQ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61" s="8">
        <f>'[1]Основной сток'!L358</f>
        <v>20000</v>
      </c>
      <c r="I361" s="1" t="str" cm="1">
        <f t="array" ref="I361">VLOOKUP(INDEX('[1]Основной сток'!H:H,ROW()-3),[1]Фотки!A:B,2,FALSE)</f>
        <v>https://i.ibb.co/G4bWsRzh/1-1.jpg|https://i.ibb.co/j9tv4kXW/2.jpg|https://i.ibb.co/mrFMRXNy/3.jpg|https://i.ibb.co/TMR2mmXd/4.jpg</v>
      </c>
      <c r="J361" t="s">
        <v>36</v>
      </c>
      <c r="K361" t="s">
        <v>37</v>
      </c>
      <c r="L361" t="str">
        <f t="shared" si="10"/>
        <v>Женская обувь</v>
      </c>
      <c r="M361" t="s">
        <v>38</v>
      </c>
      <c r="N361" t="s">
        <v>39</v>
      </c>
      <c r="O361" t="str">
        <f>PROPER('[1]Основной сток'!F358)</f>
        <v>New Balance</v>
      </c>
      <c r="P361" t="str">
        <f>'[1]Основной сток'!M358</f>
        <v>Зелёный</v>
      </c>
      <c r="R361" t="s">
        <v>41</v>
      </c>
      <c r="S361" t="s">
        <v>42</v>
      </c>
      <c r="T361" t="str">
        <f t="shared" si="11"/>
        <v>Кроссовки и кеды</v>
      </c>
      <c r="U361">
        <f>'[1]Основной сток'!J358 - 1</f>
        <v>39</v>
      </c>
      <c r="V361" t="s">
        <v>43</v>
      </c>
      <c r="X361" t="s">
        <v>44</v>
      </c>
      <c r="Y361" t="s">
        <v>45</v>
      </c>
    </row>
    <row r="362" spans="1:25" x14ac:dyDescent="0.15">
      <c r="A362" s="6">
        <f>'[1]Основной сток'!A359</f>
        <v>3205725</v>
      </c>
      <c r="B362" t="s">
        <v>33</v>
      </c>
      <c r="D362" t="s">
        <v>34</v>
      </c>
      <c r="E362" t="s">
        <v>35</v>
      </c>
      <c r="F362" s="7" t="str">
        <f>PROPER(LEFT('[1]Основной сток'!I359,FIND(CHAR(10),'[1]Основной сток'!I359&amp;CHAR(10))-1))</f>
        <v>Adidas Gazelle Earth Strata</v>
      </c>
      <c r="G362" t="str">
        <f>F362 &amp; ", " &amp; '[1]Основной сток'!H359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сток'!J359 &amp; " / RU " &amp;
INDEX('[1]Размерная сетка'!$B$2:$B$40,MATCH('[1]Основной сток'!J359,'[1]Размерная сетка'!$A$2:$A$40,0)) &amp; " / US " &amp;
INDEX('[1]Размерная сетка'!$C$2:$C$40,MATCH('[1]Основной сток'!J359,'[1]Размерная сетка'!$A$2:$A$40,0)) &amp; " / см " &amp;
INDEX('[1]Размерная сетка'!$D$2:$D$40,MATCH('[1]Основной сток'!J359,'[1]Размерная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Earth Strata, IE3693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62" s="8">
        <f>'[1]Основной сток'!L359</f>
        <v>20000</v>
      </c>
      <c r="I362" s="1" t="str" cm="1">
        <f t="array" ref="I362">VLOOKUP(INDEX('[1]Основной сток'!H:H,ROW()-3),[1]Фотки!A:B,2,FALSE)</f>
        <v>https://i.ibb.co/5JCTzcn/1.jpg</v>
      </c>
      <c r="J362" t="s">
        <v>36</v>
      </c>
      <c r="K362" t="s">
        <v>37</v>
      </c>
      <c r="L362" t="str">
        <f t="shared" si="10"/>
        <v>Женская обувь</v>
      </c>
      <c r="M362" t="s">
        <v>38</v>
      </c>
      <c r="N362" t="s">
        <v>39</v>
      </c>
      <c r="O362" t="str">
        <f>PROPER('[1]Основной сток'!F359)</f>
        <v>Adidas</v>
      </c>
      <c r="P362" t="str">
        <f>'[1]Основной сток'!M359</f>
        <v>Коричневый</v>
      </c>
      <c r="R362" t="s">
        <v>41</v>
      </c>
      <c r="S362" t="s">
        <v>42</v>
      </c>
      <c r="T362" t="str">
        <f t="shared" si="11"/>
        <v>Кроссовки и кеды</v>
      </c>
      <c r="U362">
        <f>'[1]Основной сток'!J359 - 1</f>
        <v>37</v>
      </c>
      <c r="V362" t="s">
        <v>43</v>
      </c>
      <c r="X362" t="s">
        <v>44</v>
      </c>
      <c r="Y362" t="s">
        <v>45</v>
      </c>
    </row>
    <row r="363" spans="1:25" x14ac:dyDescent="0.15">
      <c r="A363" s="6">
        <f>'[1]Основной сток'!A360</f>
        <v>3215935</v>
      </c>
      <c r="B363" t="s">
        <v>33</v>
      </c>
      <c r="D363" t="s">
        <v>34</v>
      </c>
      <c r="E363" t="s">
        <v>35</v>
      </c>
      <c r="F363" s="7" t="str">
        <f>PROPER(LEFT('[1]Основной сток'!I360,FIND(CHAR(10),'[1]Основной сток'!I360&amp;CHAR(10))-1))</f>
        <v>Wmns Dunk Low 'Smokey Mauve Playful Pink'</v>
      </c>
      <c r="G363" t="str">
        <f>F363 &amp; ", " &amp; '[1]Основной сток'!H360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сток'!J360 &amp; " / RU " &amp;
INDEX('[1]Размерная сетка'!$B$2:$B$40,MATCH('[1]Основной сток'!J360,'[1]Размерная сетка'!$A$2:$A$40,0)) &amp; " / US " &amp;
INDEX('[1]Размерная сетка'!$C$2:$C$40,MATCH('[1]Основной сток'!J360,'[1]Размерная сетка'!$A$2:$A$40,0)) &amp; " / см " &amp;
INDEX('[1]Размерная сетка'!$D$2:$D$40,MATCH('[1]Основной сток'!J360,'[1]Размерная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Wmns Dunk Low 'Smokey Mauve Playful Pink', FZ3611-208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63" s="8">
        <f>'[1]Основной сток'!L360</f>
        <v>10500</v>
      </c>
      <c r="I363" s="1" t="str" cm="1">
        <f t="array" ref="I363">VLOOKUP(INDEX('[1]Основной сток'!H:H,ROW()-3),[1]Фотки!A:B,2,FALSE)</f>
        <v>https://i.ibb.co/Lzr9f32z/1.jpg</v>
      </c>
      <c r="J363" t="s">
        <v>36</v>
      </c>
      <c r="K363" t="s">
        <v>37</v>
      </c>
      <c r="L363" t="str">
        <f t="shared" si="10"/>
        <v>Женская обувь</v>
      </c>
      <c r="M363" t="s">
        <v>38</v>
      </c>
      <c r="N363" t="s">
        <v>39</v>
      </c>
      <c r="O363" t="str">
        <f>PROPER('[1]Основной сток'!F360)</f>
        <v>Nike</v>
      </c>
      <c r="P363" t="str">
        <f>'[1]Основной сток'!M360</f>
        <v>Коричневый</v>
      </c>
      <c r="R363" t="s">
        <v>41</v>
      </c>
      <c r="S363" t="s">
        <v>42</v>
      </c>
      <c r="T363" t="str">
        <f t="shared" si="11"/>
        <v>Кроссовки и кеды</v>
      </c>
      <c r="U363">
        <f>'[1]Основной сток'!J360 - 1</f>
        <v>38</v>
      </c>
      <c r="V363" t="s">
        <v>43</v>
      </c>
      <c r="X363" t="s">
        <v>44</v>
      </c>
      <c r="Y363" t="s">
        <v>45</v>
      </c>
    </row>
    <row r="364" spans="1:25" x14ac:dyDescent="0.15">
      <c r="A364" s="6">
        <f>'[1]Основной сток'!A361</f>
        <v>3215936</v>
      </c>
      <c r="B364" t="s">
        <v>33</v>
      </c>
      <c r="D364" t="s">
        <v>34</v>
      </c>
      <c r="E364" t="s">
        <v>35</v>
      </c>
      <c r="F364" s="7" t="str">
        <f>PROPER(LEFT('[1]Основной сток'!I361,FIND(CHAR(10),'[1]Основной сток'!I361&amp;CHAR(10))-1))</f>
        <v>Adidas Handball Spezial 'Black White Gum'</v>
      </c>
      <c r="G364" t="str">
        <f>F364 &amp; ", " &amp; '[1]Основной сток'!H361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сток'!J361 &amp; " / RU " &amp;
INDEX('[1]Размерная сетка'!$B$2:$B$40,MATCH('[1]Основной сток'!J361,'[1]Размерная сетка'!$A$2:$A$40,0)) &amp; " / US " &amp;
INDEX('[1]Размерная сетка'!$C$2:$C$40,MATCH('[1]Основной сток'!J361,'[1]Размерная сетка'!$A$2:$A$40,0)) &amp; " / см " &amp;
INDEX('[1]Размерная сетка'!$D$2:$D$40,MATCH('[1]Основной сток'!J361,'[1]Размерная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Handball Spezial 'Black White Gum', IE3402
• В наличии в Москве
• Оригинал, можно проверить при получении
• Совершенно новые, полный комплект
• Размер: EU 40,5 / RU 39,5 / US 9 / см 25,3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64" s="8">
        <f>'[1]Основной сток'!L361</f>
        <v>10800</v>
      </c>
      <c r="I364" s="1" t="str" cm="1">
        <f t="array" ref="I364">VLOOKUP(INDEX('[1]Основной сток'!H:H,ROW()-3),[1]Фотки!A:B,2,FALSE)</f>
        <v>https://i.ibb.co/QFQJjJB2/1-1.jpg</v>
      </c>
      <c r="J364" t="s">
        <v>36</v>
      </c>
      <c r="K364" t="s">
        <v>37</v>
      </c>
      <c r="L364" t="str">
        <f t="shared" si="10"/>
        <v>Женская обувь</v>
      </c>
      <c r="M364" t="s">
        <v>38</v>
      </c>
      <c r="N364" t="s">
        <v>39</v>
      </c>
      <c r="O364" t="str">
        <f>PROPER('[1]Основной сток'!F361)</f>
        <v>Adidas</v>
      </c>
      <c r="P364" t="str">
        <f>'[1]Основной сток'!M361</f>
        <v>Черный</v>
      </c>
      <c r="R364" t="s">
        <v>41</v>
      </c>
      <c r="S364" t="s">
        <v>42</v>
      </c>
      <c r="T364" t="str">
        <f t="shared" si="11"/>
        <v>Кроссовки и кеды</v>
      </c>
      <c r="U364">
        <f>'[1]Основной сток'!J361 - 1</f>
        <v>39.5</v>
      </c>
      <c r="V364" t="s">
        <v>43</v>
      </c>
      <c r="X364" t="s">
        <v>44</v>
      </c>
      <c r="Y364" t="s">
        <v>45</v>
      </c>
    </row>
    <row r="365" spans="1:25" x14ac:dyDescent="0.15">
      <c r="A365" s="6">
        <f>'[1]Основной сток'!A362</f>
        <v>3215939</v>
      </c>
      <c r="B365" t="s">
        <v>33</v>
      </c>
      <c r="D365" t="s">
        <v>34</v>
      </c>
      <c r="E365" t="s">
        <v>35</v>
      </c>
      <c r="F365" s="7" t="str">
        <f>PROPER(LEFT('[1]Основной сток'!I362,FIND(CHAR(10),'[1]Основной сток'!I362&amp;CHAR(10))-1))</f>
        <v>Asics Gel Venture 6 'Cream'</v>
      </c>
      <c r="G365" t="str">
        <f>F365 &amp; ", " &amp; '[1]Основной сток'!H362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сток'!J362 &amp; " / RU " &amp;
INDEX('[1]Размерная сетка'!$B$2:$B$40,MATCH('[1]Основной сток'!J362,'[1]Размерная сетка'!$A$2:$A$40,0)) &amp; " / US " &amp;
INDEX('[1]Размерная сетка'!$C$2:$C$40,MATCH('[1]Основной сток'!J362,'[1]Размерная сетка'!$A$2:$A$40,0)) &amp; " / см " &amp;
INDEX('[1]Размерная сетка'!$D$2:$D$40,MATCH('[1]Основной сток'!J362,'[1]Размерная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Asics Gel Venture 6 'Cream', 1203A297-101
• В наличии в Москве
• Оригинал, можно проверить при получении
• Совершенно новые, полный комплект
• Размер: EU 42,5 / RU 41,5 / US 9 / см 26,7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65" s="8">
        <f>'[1]Основной сток'!L362</f>
        <v>12000</v>
      </c>
      <c r="I365" s="1" t="str" cm="1">
        <f t="array" ref="I365">VLOOKUP(INDEX('[1]Основной сток'!H:H,ROW()-3),[1]Фотки!A:B,2,FALSE)</f>
        <v>https://i.ibb.co/sv82m6fd/1.jpg</v>
      </c>
      <c r="J365" t="s">
        <v>36</v>
      </c>
      <c r="K365" t="s">
        <v>37</v>
      </c>
      <c r="L365" t="str">
        <f t="shared" si="10"/>
        <v>Мужская обувь</v>
      </c>
      <c r="M365" t="s">
        <v>38</v>
      </c>
      <c r="N365" t="s">
        <v>39</v>
      </c>
      <c r="O365" t="str">
        <f>PROPER('[1]Основной сток'!F362)</f>
        <v>Asics</v>
      </c>
      <c r="P365" t="str">
        <f>'[1]Основной сток'!M362</f>
        <v>Белый</v>
      </c>
      <c r="R365" t="s">
        <v>41</v>
      </c>
      <c r="S365" t="s">
        <v>42</v>
      </c>
      <c r="T365" t="str">
        <f t="shared" si="11"/>
        <v>Кроссовки</v>
      </c>
      <c r="U365">
        <f>'[1]Основной сток'!J362 - 1</f>
        <v>41.5</v>
      </c>
      <c r="V365" t="s">
        <v>43</v>
      </c>
      <c r="X365" t="s">
        <v>44</v>
      </c>
      <c r="Y365" t="s">
        <v>45</v>
      </c>
    </row>
    <row r="366" spans="1:25" x14ac:dyDescent="0.15">
      <c r="A366" s="6">
        <f>'[1]Основной сток'!A363</f>
        <v>3215941</v>
      </c>
      <c r="B366" t="s">
        <v>33</v>
      </c>
      <c r="D366" t="s">
        <v>34</v>
      </c>
      <c r="E366" t="s">
        <v>35</v>
      </c>
      <c r="F366" s="7" t="str">
        <f>PROPER(LEFT('[1]Основной сток'!I363,FIND(CHAR(10),'[1]Основной сток'!I363&amp;CHAR(10))-1))</f>
        <v>New Balance 2002R 'Protection Pack - Rain Cloud'</v>
      </c>
      <c r="G366" t="str">
        <f>F366 &amp; ", " &amp; '[1]Основной сток'!H363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сток'!J363 &amp; " / RU " &amp;
INDEX('[1]Размерная сетка'!$B$2:$B$40,MATCH('[1]Основной сток'!J363,'[1]Размерная сетка'!$A$2:$A$40,0)) &amp; " / US " &amp;
INDEX('[1]Размерная сетка'!$C$2:$C$40,MATCH('[1]Основной сток'!J363,'[1]Размерная сетка'!$A$2:$A$40,0)) &amp; " / см " &amp;
INDEX('[1]Размерная сетка'!$D$2:$D$40,MATCH('[1]Основной сток'!J363,'[1]Размерная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2002R 'Protection Pack - Rain Cloud', M2002RDA
• В наличии в Москве
• Оригинал, можно проверить при получении
• Совершенно новые, полный комплект
• Размер: EU 44 / RU 43 / US 10 / см 27,7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66" s="8">
        <f>'[1]Основной сток'!L363</f>
        <v>32000</v>
      </c>
      <c r="I366" s="1" t="str" cm="1">
        <f t="array" ref="I366">VLOOKUP(INDEX('[1]Основной сток'!H:H,ROW()-3),[1]Фотки!A:B,2,FALSE)</f>
        <v>https://i.ibb.co/W4LW153B/1-1.jpg|https://i.ibb.co/DDNWzNRz/2.jpg|https://i.ibb.co/M5M1JS10/3.jpg|https://i.ibb.co/LdY7tVBV/4.jpg</v>
      </c>
      <c r="J366" t="s">
        <v>36</v>
      </c>
      <c r="K366" t="s">
        <v>37</v>
      </c>
      <c r="L366" t="str">
        <f t="shared" si="10"/>
        <v>Мужская обувь</v>
      </c>
      <c r="M366" t="s">
        <v>38</v>
      </c>
      <c r="N366" t="s">
        <v>39</v>
      </c>
      <c r="O366" t="str">
        <f>PROPER('[1]Основной сток'!F363)</f>
        <v>New Balance</v>
      </c>
      <c r="P366" t="str">
        <f>'[1]Основной сток'!M363</f>
        <v>Серый</v>
      </c>
      <c r="R366" t="s">
        <v>41</v>
      </c>
      <c r="S366" t="s">
        <v>42</v>
      </c>
      <c r="T366" t="str">
        <f t="shared" si="11"/>
        <v>Кроссовки</v>
      </c>
      <c r="U366">
        <f>'[1]Основной сток'!J363 - 1</f>
        <v>43</v>
      </c>
      <c r="V366" t="s">
        <v>43</v>
      </c>
      <c r="X366" t="s">
        <v>44</v>
      </c>
      <c r="Y366" t="s">
        <v>45</v>
      </c>
    </row>
    <row r="367" spans="1:25" x14ac:dyDescent="0.15">
      <c r="A367" s="6">
        <f>'[1]Основной сток'!A364</f>
        <v>3223276</v>
      </c>
      <c r="B367" t="s">
        <v>33</v>
      </c>
      <c r="D367" t="s">
        <v>34</v>
      </c>
      <c r="E367" t="s">
        <v>35</v>
      </c>
      <c r="F367" s="7" t="str">
        <f>PROPER(LEFT('[1]Основной сток'!I364,FIND(CHAR(10),'[1]Основной сток'!I364&amp;CHAR(10))-1))</f>
        <v>Nike V2K Runner Summit White</v>
      </c>
      <c r="G367" t="str">
        <f>F367 &amp; ", " &amp; '[1]Основной сток'!H364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сток'!J364 &amp; " / RU " &amp;
INDEX('[1]Размерная сетка'!$B$2:$B$40,MATCH('[1]Основной сток'!J364,'[1]Размерная сетка'!$A$2:$A$40,0)) &amp; " / US " &amp;
INDEX('[1]Размерная сетка'!$C$2:$C$40,MATCH('[1]Основной сток'!J364,'[1]Размерная сетка'!$A$2:$A$40,0)) &amp; " / см " &amp;
INDEX('[1]Размерная сетка'!$D$2:$D$40,MATCH('[1]Основной сток'!J364,'[1]Размерная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V2K Runner Summit White, FD0736-102
• В наличии в Москве
• Оригинал, можно проверить при получении
• Совершенно новые, полный комплект
• Размер: EU 41 / RU 40 / US 9,5 / см 25,5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67" s="8">
        <f>'[1]Основной сток'!L364</f>
        <v>18432</v>
      </c>
      <c r="I367" s="1" t="str" cm="1">
        <f t="array" ref="I367">VLOOKUP(INDEX('[1]Основной сток'!H:H,ROW()-3),[1]Фотки!A:B,2,FALSE)</f>
        <v>https://i.ibb.co/rGwp2Pcg/1-1.jpg</v>
      </c>
      <c r="J367" t="s">
        <v>36</v>
      </c>
      <c r="K367" t="s">
        <v>37</v>
      </c>
      <c r="L367" t="str">
        <f t="shared" si="10"/>
        <v>Женская обувь</v>
      </c>
      <c r="M367" t="s">
        <v>38</v>
      </c>
      <c r="N367" t="s">
        <v>39</v>
      </c>
      <c r="O367" t="str">
        <f>PROPER('[1]Основной сток'!F364)</f>
        <v>Nike</v>
      </c>
      <c r="P367" t="str">
        <f>'[1]Основной сток'!M364</f>
        <v>Белый</v>
      </c>
      <c r="R367" t="s">
        <v>41</v>
      </c>
      <c r="S367" t="s">
        <v>42</v>
      </c>
      <c r="T367" t="str">
        <f t="shared" si="11"/>
        <v>Кроссовки и кеды</v>
      </c>
      <c r="U367">
        <f>'[1]Основной сток'!J364 - 1</f>
        <v>40</v>
      </c>
      <c r="V367" t="s">
        <v>43</v>
      </c>
      <c r="X367" t="s">
        <v>44</v>
      </c>
      <c r="Y367" t="s">
        <v>45</v>
      </c>
    </row>
    <row r="368" spans="1:25" x14ac:dyDescent="0.15">
      <c r="A368" s="6">
        <f>'[1]Основной сток'!A365</f>
        <v>3267186</v>
      </c>
      <c r="B368" t="s">
        <v>33</v>
      </c>
      <c r="D368" t="s">
        <v>34</v>
      </c>
      <c r="E368" t="s">
        <v>35</v>
      </c>
      <c r="F368" s="7" t="str">
        <f>PROPER(LEFT('[1]Основной сток'!I365,FIND(CHAR(10),'[1]Основной сток'!I365&amp;CHAR(10))-1))</f>
        <v>Jordan 1 Retro Low Og 'Mocha'</v>
      </c>
      <c r="G368" t="str">
        <f>F368 &amp; ", " &amp; '[1]Основной сток'!H365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сток'!J365 &amp; " / RU " &amp;
INDEX('[1]Размерная сетка'!$B$2:$B$40,MATCH('[1]Основной сток'!J365,'[1]Размерная сетка'!$A$2:$A$40,0)) &amp; " / US " &amp;
INDEX('[1]Размерная сетка'!$C$2:$C$40,MATCH('[1]Основной сток'!J365,'[1]Размерная сетка'!$A$2:$A$40,0)) &amp; " / см " &amp;
INDEX('[1]Размерная сетка'!$D$2:$D$40,MATCH('[1]Основной сток'!J365,'[1]Размерная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Retro Low Og 'Mocha', CZ0858-102
• В наличии в Москве
• Оригинал, можно проверить при получении
• Совершенно новые, полный комплект
• Размер: EU 36,5 / RU 35,5 / US 6 / см 22,7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68" s="8">
        <f>'[1]Основной сток'!L365</f>
        <v>25000</v>
      </c>
      <c r="I368" s="1" t="str" cm="1">
        <f t="array" ref="I368">VLOOKUP(INDEX('[1]Основной сток'!H:H,ROW()-3),[1]Фотки!A:B,2,FALSE)</f>
        <v>https://i.ibb.co/vv1B4jLz/1.jpg|https://i.ibb.co/Mk95cPbB/2.jpg|https://i.ibb.co/VWV1DWB7/3.jpg|https://i.ibb.co/BV406dHx/4.jpg</v>
      </c>
      <c r="J368" t="s">
        <v>36</v>
      </c>
      <c r="K368" t="s">
        <v>37</v>
      </c>
      <c r="L368" t="str">
        <f t="shared" si="10"/>
        <v>Женская обувь</v>
      </c>
      <c r="M368" t="s">
        <v>38</v>
      </c>
      <c r="N368" t="s">
        <v>39</v>
      </c>
      <c r="O368" t="str">
        <f>PROPER('[1]Основной сток'!F365)</f>
        <v>Jordan</v>
      </c>
      <c r="P368" t="str">
        <f>'[1]Основной сток'!M365</f>
        <v>Черный</v>
      </c>
      <c r="R368" t="s">
        <v>41</v>
      </c>
      <c r="S368" t="s">
        <v>42</v>
      </c>
      <c r="T368" t="str">
        <f t="shared" si="11"/>
        <v>Кроссовки и кеды</v>
      </c>
      <c r="U368">
        <f>'[1]Основной сток'!J365 - 1</f>
        <v>35.5</v>
      </c>
      <c r="V368" t="s">
        <v>43</v>
      </c>
      <c r="X368" t="s">
        <v>44</v>
      </c>
      <c r="Y368" t="s">
        <v>45</v>
      </c>
    </row>
    <row r="369" spans="1:25" x14ac:dyDescent="0.15">
      <c r="A369" s="6">
        <f>'[1]Основной сток'!A366</f>
        <v>3296947</v>
      </c>
      <c r="B369" t="s">
        <v>33</v>
      </c>
      <c r="D369" t="s">
        <v>34</v>
      </c>
      <c r="E369" t="s">
        <v>35</v>
      </c>
      <c r="F369" s="7" t="str">
        <f>PROPER(LEFT('[1]Основной сток'!I366,FIND(CHAR(10),'[1]Основной сток'!I366&amp;CHAR(10))-1))</f>
        <v>Air Jordan 1 Low Se “Concord” (Gs)</v>
      </c>
      <c r="G369" t="str">
        <f>F369 &amp; ", " &amp; '[1]Основной сток'!H366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сток'!J366 &amp; " / RU " &amp;
INDEX('[1]Размерная сетка'!$B$2:$B$40,MATCH('[1]Основной сток'!J366,'[1]Размерная сетка'!$A$2:$A$40,0)) &amp; " / US " &amp;
INDEX('[1]Размерная сетка'!$C$2:$C$40,MATCH('[1]Основной сток'!J366,'[1]Размерная сетка'!$A$2:$A$40,0)) &amp; " / см " &amp;
INDEX('[1]Размерная сетка'!$D$2:$D$40,MATCH('[1]Основной сток'!J366,'[1]Размерная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Low Se “Concord” (Gs), DV1333-100
• В наличии в Москве
• Оригинал, можно проверить при получении
• Совершенно новые, полный комплект
• Размер: EU 36,5 / RU 35,5 / US 6 / см 22,7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69" s="8">
        <f>'[1]Основной сток'!L366</f>
        <v>22000</v>
      </c>
      <c r="I369" s="1" t="str" cm="1">
        <f t="array" ref="I369">VLOOKUP(INDEX('[1]Основной сток'!H:H,ROW()-3),[1]Фотки!A:B,2,FALSE)</f>
        <v>https://i.ibb.co/JjsHCgZ2/1.jpg</v>
      </c>
      <c r="J369" t="s">
        <v>36</v>
      </c>
      <c r="K369" t="s">
        <v>37</v>
      </c>
      <c r="L369" t="str">
        <f t="shared" si="10"/>
        <v>Женская обувь</v>
      </c>
      <c r="M369" t="s">
        <v>38</v>
      </c>
      <c r="N369" t="s">
        <v>39</v>
      </c>
      <c r="O369" t="str">
        <f>PROPER('[1]Основной сток'!F366)</f>
        <v>Jordan</v>
      </c>
      <c r="P369" t="str">
        <f>'[1]Основной сток'!M366</f>
        <v>Черный</v>
      </c>
      <c r="R369" t="s">
        <v>41</v>
      </c>
      <c r="S369" t="s">
        <v>42</v>
      </c>
      <c r="T369" t="str">
        <f t="shared" si="11"/>
        <v>Кроссовки и кеды</v>
      </c>
      <c r="U369">
        <f>'[1]Основной сток'!J366 - 1</f>
        <v>35.5</v>
      </c>
      <c r="V369" t="s">
        <v>43</v>
      </c>
      <c r="X369" t="s">
        <v>44</v>
      </c>
      <c r="Y369" t="s">
        <v>45</v>
      </c>
    </row>
    <row r="370" spans="1:25" x14ac:dyDescent="0.15">
      <c r="A370" s="6">
        <f>'[1]Основной сток'!A367</f>
        <v>3296948</v>
      </c>
      <c r="B370" t="s">
        <v>33</v>
      </c>
      <c r="D370" t="s">
        <v>34</v>
      </c>
      <c r="E370" t="s">
        <v>35</v>
      </c>
      <c r="F370" s="7" t="str">
        <f>PROPER(LEFT('[1]Основной сток'!I367,FIND(CHAR(10),'[1]Основной сток'!I367&amp;CHAR(10))-1))</f>
        <v>Air Jordan 1 Low Se “Concord” (Gs)</v>
      </c>
      <c r="G370" t="str">
        <f>F370 &amp; ", " &amp; '[1]Основной сток'!H367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сток'!J367 &amp; " / RU " &amp;
INDEX('[1]Размерная сетка'!$B$2:$B$40,MATCH('[1]Основной сток'!J367,'[1]Размерная сетка'!$A$2:$A$40,0)) &amp; " / US " &amp;
INDEX('[1]Размерная сетка'!$C$2:$C$40,MATCH('[1]Основной сток'!J367,'[1]Размерная сетка'!$A$2:$A$40,0)) &amp; " / см " &amp;
INDEX('[1]Размерная сетка'!$D$2:$D$40,MATCH('[1]Основной сток'!J367,'[1]Размерная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Air Jordan 1 Low Se “Concord” (Gs), DV1333-100
• В наличии в Москве
• Оригинал, можно проверить при получении
• Совершенно новые, полный комплект
• Размер: EU 37,5 / RU 36,5 / US 6,5-7 / см 23,3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70" s="8">
        <f>'[1]Основной сток'!L367</f>
        <v>22000</v>
      </c>
      <c r="I370" s="1" t="str" cm="1">
        <f t="array" ref="I370">VLOOKUP(INDEX('[1]Основной сток'!H:H,ROW()-3),[1]Фотки!A:B,2,FALSE)</f>
        <v>https://i.ibb.co/JjsHCgZ2/1.jpg</v>
      </c>
      <c r="J370" t="s">
        <v>36</v>
      </c>
      <c r="K370" t="s">
        <v>37</v>
      </c>
      <c r="L370" t="str">
        <f t="shared" si="10"/>
        <v>Женская обувь</v>
      </c>
      <c r="M370" t="s">
        <v>38</v>
      </c>
      <c r="N370" t="s">
        <v>39</v>
      </c>
      <c r="O370" t="str">
        <f>PROPER('[1]Основной сток'!F367)</f>
        <v>Jordan</v>
      </c>
      <c r="P370" t="str">
        <f>'[1]Основной сток'!M367</f>
        <v>Черный</v>
      </c>
      <c r="R370" t="s">
        <v>41</v>
      </c>
      <c r="S370" t="s">
        <v>42</v>
      </c>
      <c r="T370" t="str">
        <f t="shared" si="11"/>
        <v>Кроссовки и кеды</v>
      </c>
      <c r="U370">
        <f>'[1]Основной сток'!J367 - 1</f>
        <v>36.5</v>
      </c>
      <c r="V370" t="s">
        <v>43</v>
      </c>
      <c r="X370" t="s">
        <v>44</v>
      </c>
      <c r="Y370" t="s">
        <v>45</v>
      </c>
    </row>
    <row r="371" spans="1:25" x14ac:dyDescent="0.15">
      <c r="A371" s="6">
        <f>'[1]Основной сток'!A368</f>
        <v>3316100</v>
      </c>
      <c r="B371" t="s">
        <v>33</v>
      </c>
      <c r="D371" t="s">
        <v>34</v>
      </c>
      <c r="E371" t="s">
        <v>35</v>
      </c>
      <c r="F371" s="7" t="str">
        <f>PROPER(LEFT('[1]Основной сток'!I368,FIND(CHAR(10),'[1]Основной сток'!I368&amp;CHAR(10))-1))</f>
        <v>Yzy Pod “Black”</v>
      </c>
      <c r="G371" t="str">
        <f>F371 &amp; ", " &amp; '[1]Основной сток'!H368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сток'!J368 &amp; " / RU " &amp;
INDEX('[1]Размерная сетка'!$B$2:$B$40,MATCH('[1]Основной сток'!J368,'[1]Размерная сетка'!$A$2:$A$40,0)) &amp; " / US " &amp;
INDEX('[1]Размерная сетка'!$C$2:$C$40,MATCH('[1]Основной сток'!J368,'[1]Размерная сетка'!$A$2:$A$40,0)) &amp; " / см " &amp;
INDEX('[1]Размерная сетка'!$D$2:$D$40,MATCH('[1]Основной сток'!J368,'[1]Размерная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Yzy Pod “Black”, YZYPODBLK
• В наличии в Москве
• Оригинал, можно проверить при получении
• Совершенно новые, полный комплект
• Размер: EU 44 / RU 43 / US 10 / см 27,7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71" s="8">
        <f>'[1]Основной сток'!L368</f>
        <v>11448</v>
      </c>
      <c r="I371" s="1" t="str" cm="1">
        <f t="array" ref="I371">VLOOKUP(INDEX('[1]Основной сток'!H:H,ROW()-3),[1]Фотки!A:B,2,FALSE)</f>
        <v>https://i.ibb.co/nMXtNr3M/1-1.jpg</v>
      </c>
      <c r="J371" t="s">
        <v>36</v>
      </c>
      <c r="K371" t="s">
        <v>37</v>
      </c>
      <c r="L371" t="str">
        <f t="shared" si="10"/>
        <v>Мужская обувь</v>
      </c>
      <c r="M371" t="s">
        <v>38</v>
      </c>
      <c r="N371" t="s">
        <v>39</v>
      </c>
      <c r="O371" t="str">
        <f>PROPER('[1]Основной сток'!F368)</f>
        <v>Yeezy</v>
      </c>
      <c r="P371" t="str">
        <f>'[1]Основной сток'!M368</f>
        <v>Черный</v>
      </c>
      <c r="R371" t="s">
        <v>41</v>
      </c>
      <c r="S371" t="s">
        <v>42</v>
      </c>
      <c r="T371" t="str">
        <f t="shared" si="11"/>
        <v>Кроссовки</v>
      </c>
      <c r="U371">
        <f>'[1]Основной сток'!J368 - 1</f>
        <v>43</v>
      </c>
      <c r="V371" t="s">
        <v>43</v>
      </c>
      <c r="X371" t="s">
        <v>44</v>
      </c>
      <c r="Y371" t="s">
        <v>45</v>
      </c>
    </row>
    <row r="372" spans="1:25" x14ac:dyDescent="0.15">
      <c r="A372" s="6">
        <f>'[1]Основной сток'!A369</f>
        <v>3331329</v>
      </c>
      <c r="B372" t="s">
        <v>33</v>
      </c>
      <c r="D372" t="s">
        <v>34</v>
      </c>
      <c r="E372" t="s">
        <v>35</v>
      </c>
      <c r="F372" s="7" t="str">
        <f>PROPER(LEFT('[1]Основной сток'!I369,FIND(CHAR(10),'[1]Основной сток'!I369&amp;CHAR(10))-1))</f>
        <v>Nike Ispa Sense Flyknit Enigma Stone</v>
      </c>
      <c r="G372" t="str">
        <f>F372 &amp; ", " &amp; '[1]Основной сток'!H369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сток'!J369 &amp; " / RU " &amp;
INDEX('[1]Размерная сетка'!$B$2:$B$40,MATCH('[1]Основной сток'!J369,'[1]Размерная сетка'!$A$2:$A$40,0)) &amp; " / US " &amp;
INDEX('[1]Размерная сетка'!$C$2:$C$40,MATCH('[1]Основной сток'!J369,'[1]Размерная сетка'!$A$2:$A$40,0)) &amp; " / см " &amp;
INDEX('[1]Размерная сетка'!$D$2:$D$40,MATCH('[1]Основной сток'!J369,'[1]Размерная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Nike Ispa Sense Flyknit Enigma Stone, CW3203-001
• В наличии в Москве
• Оригинал, можно проверить при получении
• Совершенно новые, полный комплект
• Размер: EU 44,5 / RU 43,5 / US 10,5 / см 28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72" s="8">
        <f>'[1]Основной сток'!L369</f>
        <v>16000</v>
      </c>
      <c r="I372" s="1" t="str" cm="1">
        <f t="array" ref="I372">VLOOKUP(INDEX('[1]Основной сток'!H:H,ROW()-3),[1]Фотки!A:B,2,FALSE)</f>
        <v>https://i.ibb.co/W4kT0HVV/1.jpg|https://i.ibb.co/chyrkTHp/2.jpg|https://i.ibb.co/s9sN0b6d/3.jpg|https://i.ibb.co/cc3SMyNZ/4.jpg</v>
      </c>
      <c r="J372" t="s">
        <v>36</v>
      </c>
      <c r="K372" t="s">
        <v>37</v>
      </c>
      <c r="L372" t="str">
        <f t="shared" si="10"/>
        <v>Мужская обувь</v>
      </c>
      <c r="M372" t="s">
        <v>38</v>
      </c>
      <c r="N372" t="s">
        <v>39</v>
      </c>
      <c r="O372" t="str">
        <f>PROPER('[1]Основной сток'!F369)</f>
        <v>Nike</v>
      </c>
      <c r="P372" t="str">
        <f>'[1]Основной сток'!M369</f>
        <v>Серый</v>
      </c>
      <c r="R372" t="s">
        <v>41</v>
      </c>
      <c r="S372" t="s">
        <v>42</v>
      </c>
      <c r="T372" t="str">
        <f t="shared" si="11"/>
        <v>Кроссовки</v>
      </c>
      <c r="U372">
        <f>'[1]Основной сток'!J369 - 1</f>
        <v>43.5</v>
      </c>
      <c r="V372" t="s">
        <v>43</v>
      </c>
      <c r="X372" t="s">
        <v>44</v>
      </c>
      <c r="Y372" t="s">
        <v>45</v>
      </c>
    </row>
    <row r="373" spans="1:25" x14ac:dyDescent="0.15">
      <c r="A373" s="6">
        <f>'[1]Основной сток'!A370</f>
        <v>3362947</v>
      </c>
      <c r="B373" t="s">
        <v>33</v>
      </c>
      <c r="D373" t="s">
        <v>34</v>
      </c>
      <c r="E373" t="s">
        <v>35</v>
      </c>
      <c r="F373" s="7" t="str">
        <f>PROPER(LEFT('[1]Основной сток'!I370,FIND(CHAR(10),'[1]Основной сток'!I370&amp;CHAR(10))-1))</f>
        <v>Jordan 1 Mid Se Pastel Vivid Green Grind (Gs)</v>
      </c>
      <c r="G373" t="str">
        <f>F373 &amp; ", " &amp; '[1]Основной сток'!H370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сток'!J370 &amp; " / RU " &amp;
INDEX('[1]Размерная сетка'!$B$2:$B$40,MATCH('[1]Основной сток'!J370,'[1]Размерная сетка'!$A$2:$A$40,0)) &amp; " / US " &amp;
INDEX('[1]Размерная сетка'!$C$2:$C$40,MATCH('[1]Основной сток'!J370,'[1]Размерная сетка'!$A$2:$A$40,0)) &amp; " / см " &amp;
INDEX('[1]Размерная сетка'!$D$2:$D$40,MATCH('[1]Основной сток'!J370,'[1]Размерная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Mid Se Pastel Vivid Green Grind (Gs), DJ0338-100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73" s="8">
        <f>'[1]Основной сток'!L370</f>
        <v>12000</v>
      </c>
      <c r="I373" s="1" t="str" cm="1">
        <f t="array" ref="I373">VLOOKUP(INDEX('[1]Основной сток'!H:H,ROW()-3),[1]Фотки!A:B,2,FALSE)</f>
        <v>https://i.ibb.co/hJG5jSpy/1-1.jpg</v>
      </c>
      <c r="J373" t="s">
        <v>36</v>
      </c>
      <c r="K373" t="s">
        <v>37</v>
      </c>
      <c r="L373" t="str">
        <f t="shared" si="10"/>
        <v>Женская обувь</v>
      </c>
      <c r="M373" t="s">
        <v>38</v>
      </c>
      <c r="N373" t="s">
        <v>39</v>
      </c>
      <c r="O373" t="str">
        <f>PROPER('[1]Основной сток'!F370)</f>
        <v>Jordan</v>
      </c>
      <c r="P373" t="str">
        <f>'[1]Основной сток'!M370</f>
        <v>Белый</v>
      </c>
      <c r="R373" t="s">
        <v>41</v>
      </c>
      <c r="S373" t="s">
        <v>42</v>
      </c>
      <c r="T373" t="str">
        <f t="shared" si="11"/>
        <v>Кроссовки и кеды</v>
      </c>
      <c r="U373">
        <f>'[1]Основной сток'!J370 - 1</f>
        <v>37</v>
      </c>
      <c r="V373" t="s">
        <v>43</v>
      </c>
      <c r="X373" t="s">
        <v>44</v>
      </c>
      <c r="Y373" t="s">
        <v>45</v>
      </c>
    </row>
    <row r="374" spans="1:25" x14ac:dyDescent="0.15">
      <c r="A374" s="6">
        <f>'[1]Основной сток'!A371</f>
        <v>3388241</v>
      </c>
      <c r="B374" t="s">
        <v>33</v>
      </c>
      <c r="D374" t="s">
        <v>34</v>
      </c>
      <c r="E374" t="s">
        <v>35</v>
      </c>
      <c r="F374" s="7" t="str">
        <f>PROPER(LEFT('[1]Основной сток'!I371,FIND(CHAR(10),'[1]Основной сток'!I371&amp;CHAR(10))-1))</f>
        <v>Adidas Gazelle Indoor Light Blue Floral</v>
      </c>
      <c r="G374" t="str">
        <f>F374 &amp; ", " &amp; '[1]Основной сток'!H371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сток'!J371 &amp; " / RU " &amp;
INDEX('[1]Размерная сетка'!$B$2:$B$40,MATCH('[1]Основной сток'!J371,'[1]Размерная сетка'!$A$2:$A$40,0)) &amp; " / US " &amp;
INDEX('[1]Размерная сетка'!$C$2:$C$40,MATCH('[1]Основной сток'!J371,'[1]Размерная сетка'!$A$2:$A$40,0)) &amp; " / см " &amp;
INDEX('[1]Размерная сетка'!$D$2:$D$40,MATCH('[1]Основной сток'!J371,'[1]Размерная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Gazelle Indoor Light Blue Floral, IF4491
• В наличии в Москве
• Оригинал, можно проверить при получении
• Совершенно новые, полный комплект
• Размер: EU 41 / RU 40 / US 9,5 / см 25,5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74" s="8">
        <f>'[1]Основной сток'!L371</f>
        <v>20000</v>
      </c>
      <c r="I374" s="1" t="str" cm="1">
        <f t="array" ref="I374">VLOOKUP(INDEX('[1]Основной сток'!H:H,ROW()-3),[1]Фотки!A:B,2,FALSE)</f>
        <v>https://i.ibb.co/0p4W2ZQF/1-1.jpg|https://i.ibb.co/rRfZ8HWN/2.jpg|https://i.ibb.co/Pvc4zWft/3.jpg|https://i.ibb.co/NcrjyJT/4.jpg</v>
      </c>
      <c r="J374" t="s">
        <v>36</v>
      </c>
      <c r="K374" t="s">
        <v>37</v>
      </c>
      <c r="L374" t="str">
        <f t="shared" si="10"/>
        <v>Женская обувь</v>
      </c>
      <c r="M374" t="s">
        <v>38</v>
      </c>
      <c r="N374" t="s">
        <v>39</v>
      </c>
      <c r="O374" t="str">
        <f>PROPER('[1]Основной сток'!F371)</f>
        <v>Adidas</v>
      </c>
      <c r="P374" t="str">
        <f>'[1]Основной сток'!M371</f>
        <v>Голубой</v>
      </c>
      <c r="R374" t="s">
        <v>41</v>
      </c>
      <c r="S374" t="s">
        <v>42</v>
      </c>
      <c r="T374" t="str">
        <f t="shared" si="11"/>
        <v>Кроссовки и кеды</v>
      </c>
      <c r="U374">
        <f>'[1]Основной сток'!J371 - 1</f>
        <v>40</v>
      </c>
      <c r="V374" t="s">
        <v>43</v>
      </c>
      <c r="X374" t="s">
        <v>44</v>
      </c>
      <c r="Y374" t="s">
        <v>45</v>
      </c>
    </row>
    <row r="375" spans="1:25" x14ac:dyDescent="0.15">
      <c r="A375" s="6">
        <f>'[1]Основной сток'!A372</f>
        <v>3417923</v>
      </c>
      <c r="B375" t="s">
        <v>33</v>
      </c>
      <c r="D375" t="s">
        <v>34</v>
      </c>
      <c r="E375" t="s">
        <v>35</v>
      </c>
      <c r="F375" s="7" t="str">
        <f>PROPER(LEFT('[1]Основной сток'!I372,FIND(CHAR(10),'[1]Основной сток'!I372&amp;CHAR(10))-1))</f>
        <v>Adidas Samba Sporty And Rich Burgundy</v>
      </c>
      <c r="G375" t="str">
        <f>F375 &amp; ", " &amp; '[1]Основной сток'!H372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сток'!J372 &amp; " / RU " &amp;
INDEX('[1]Размерная сетка'!$B$2:$B$40,MATCH('[1]Основной сток'!J372,'[1]Размерная сетка'!$A$2:$A$40,0)) &amp; " / US " &amp;
INDEX('[1]Размерная сетка'!$C$2:$C$40,MATCH('[1]Основной сток'!J372,'[1]Размерная сетка'!$A$2:$A$40,0)) &amp; " / см " &amp;
INDEX('[1]Размерная сетка'!$D$2:$D$40,MATCH('[1]Основной сток'!J372,'[1]Размерная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Samba Sporty And Rich Burgundy, IF5660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75" s="8">
        <f>'[1]Основной сток'!L372</f>
        <v>29000</v>
      </c>
      <c r="I375" s="1" t="str" cm="1">
        <f t="array" ref="I375">VLOOKUP(INDEX('[1]Основной сток'!H:H,ROW()-3),[1]Фотки!A:B,2,FALSE)</f>
        <v>https://i.ibb.co/gbHftkTB/1-1.jpg|https://i.ibb.co/5tqNFrx/2.jpg|https://i.ibb.co/LhPJtCf8/3.jpg|https://i.ibb.co/wFyZ7Nzc/4.jpg</v>
      </c>
      <c r="J375" t="s">
        <v>36</v>
      </c>
      <c r="K375" t="s">
        <v>37</v>
      </c>
      <c r="L375" t="str">
        <f t="shared" si="10"/>
        <v>Женская обувь</v>
      </c>
      <c r="M375" t="s">
        <v>38</v>
      </c>
      <c r="N375" t="s">
        <v>39</v>
      </c>
      <c r="O375" t="str">
        <f>PROPER('[1]Основной сток'!F372)</f>
        <v>Adidas</v>
      </c>
      <c r="P375" t="str">
        <f>'[1]Основной сток'!M372</f>
        <v>Красный</v>
      </c>
      <c r="R375" t="s">
        <v>41</v>
      </c>
      <c r="S375" t="s">
        <v>42</v>
      </c>
      <c r="T375" t="str">
        <f t="shared" si="11"/>
        <v>Кроссовки и кеды</v>
      </c>
      <c r="U375">
        <f>'[1]Основной сток'!J372 - 1</f>
        <v>39</v>
      </c>
      <c r="V375" t="s">
        <v>43</v>
      </c>
      <c r="X375" t="s">
        <v>44</v>
      </c>
      <c r="Y375" t="s">
        <v>45</v>
      </c>
    </row>
    <row r="376" spans="1:25" x14ac:dyDescent="0.15">
      <c r="A376" s="6">
        <f>'[1]Основной сток'!A373</f>
        <v>3455849</v>
      </c>
      <c r="B376" t="s">
        <v>33</v>
      </c>
      <c r="D376" t="s">
        <v>34</v>
      </c>
      <c r="E376" t="s">
        <v>35</v>
      </c>
      <c r="F376" s="7" t="str">
        <f>PROPER(LEFT('[1]Основной сток'!I373,FIND(CHAR(10),'[1]Основной сток'!I373&amp;CHAR(10))-1))</f>
        <v>Wmns Handball Spezial 'Clear Pink Arctic Night'</v>
      </c>
      <c r="G376" t="str">
        <f>F376 &amp; ", " &amp; '[1]Основной сток'!H373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сток'!J373 &amp; " / RU " &amp;
INDEX('[1]Размерная сетка'!$B$2:$B$40,MATCH('[1]Основной сток'!J373,'[1]Размерная сетка'!$A$2:$A$40,0)) &amp; " / US " &amp;
INDEX('[1]Размерная сетка'!$C$2:$C$40,MATCH('[1]Основной сток'!J373,'[1]Размерная сетка'!$A$2:$A$40,0)) &amp; " / см " &amp;
INDEX('[1]Размерная сетка'!$D$2:$D$40,MATCH('[1]Основной сток'!J373,'[1]Размерная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Wmns Handball Spezial 'Clear Pink Arctic Night', IF6561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76" s="8">
        <f>'[1]Основной сток'!L373</f>
        <v>20000</v>
      </c>
      <c r="I376" s="1" t="str" cm="1">
        <f t="array" ref="I376">VLOOKUP(INDEX('[1]Основной сток'!H:H,ROW()-3),[1]Фотки!A:B,2,FALSE)</f>
        <v>https://i.ibb.co/czC3dZN/1.jpg</v>
      </c>
      <c r="J376" t="s">
        <v>36</v>
      </c>
      <c r="K376" t="s">
        <v>37</v>
      </c>
      <c r="L376" t="str">
        <f t="shared" si="10"/>
        <v>Женская обувь</v>
      </c>
      <c r="M376" t="s">
        <v>38</v>
      </c>
      <c r="N376" t="s">
        <v>39</v>
      </c>
      <c r="O376" t="str">
        <f>PROPER('[1]Основной сток'!F373)</f>
        <v>Adidas</v>
      </c>
      <c r="P376" t="str">
        <f>'[1]Основной сток'!M373</f>
        <v>Розовый</v>
      </c>
      <c r="R376" t="s">
        <v>41</v>
      </c>
      <c r="S376" t="s">
        <v>42</v>
      </c>
      <c r="T376" t="str">
        <f t="shared" si="11"/>
        <v>Кроссовки и кеды</v>
      </c>
      <c r="U376">
        <f>'[1]Основной сток'!J373 - 1</f>
        <v>37.5</v>
      </c>
      <c r="V376" t="s">
        <v>43</v>
      </c>
      <c r="X376" t="s">
        <v>44</v>
      </c>
      <c r="Y376" t="s">
        <v>45</v>
      </c>
    </row>
    <row r="377" spans="1:25" x14ac:dyDescent="0.15">
      <c r="A377" s="6">
        <f>'[1]Основной сток'!A374</f>
        <v>3463167</v>
      </c>
      <c r="B377" t="s">
        <v>33</v>
      </c>
      <c r="D377" t="s">
        <v>34</v>
      </c>
      <c r="E377" t="s">
        <v>35</v>
      </c>
      <c r="F377" s="7" t="str">
        <f>PROPER(LEFT('[1]Основной сток'!I374,FIND(CHAR(10),'[1]Основной сток'!I374&amp;CHAR(10))-1))</f>
        <v>Jordan 1 Retro Low Og 'Mocha'</v>
      </c>
      <c r="G377" t="str">
        <f>F377 &amp; ", " &amp; '[1]Основной сток'!H374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сток'!J374 &amp; " / RU " &amp;
INDEX('[1]Размерная сетка'!$B$2:$B$40,MATCH('[1]Основной сток'!J374,'[1]Размерная сетка'!$A$2:$A$40,0)) &amp; " / US " &amp;
INDEX('[1]Размерная сетка'!$C$2:$C$40,MATCH('[1]Основной сток'!J374,'[1]Размерная сетка'!$A$2:$A$40,0)) &amp; " / см " &amp;
INDEX('[1]Размерная сетка'!$D$2:$D$40,MATCH('[1]Основной сток'!J374,'[1]Размерная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Retro Low Og 'Mocha', CZ0858-102
• В наличии в Москве
• Оригинал, можно проверить при получении
• Совершенно новые, полный комплект
• Размер: EU 37,5 / RU 36,5 / US 6,5-7 / см 23,3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77" s="8">
        <f>'[1]Основной сток'!L374</f>
        <v>25000</v>
      </c>
      <c r="I377" s="1" t="str" cm="1">
        <f t="array" ref="I377">VLOOKUP(INDEX('[1]Основной сток'!H:H,ROW()-3),[1]Фотки!A:B,2,FALSE)</f>
        <v>https://i.ibb.co/vv1B4jLz/1.jpg|https://i.ibb.co/Mk95cPbB/2.jpg|https://i.ibb.co/VWV1DWB7/3.jpg|https://i.ibb.co/BV406dHx/4.jpg</v>
      </c>
      <c r="J377" t="s">
        <v>36</v>
      </c>
      <c r="K377" t="s">
        <v>37</v>
      </c>
      <c r="L377" t="str">
        <f t="shared" si="10"/>
        <v>Женская обувь</v>
      </c>
      <c r="M377" t="s">
        <v>38</v>
      </c>
      <c r="N377" t="s">
        <v>39</v>
      </c>
      <c r="O377" t="str">
        <f>PROPER('[1]Основной сток'!F374)</f>
        <v>Jordan</v>
      </c>
      <c r="P377" t="str">
        <f>'[1]Основной сток'!M374</f>
        <v>Черный</v>
      </c>
      <c r="R377" t="s">
        <v>41</v>
      </c>
      <c r="S377" t="s">
        <v>42</v>
      </c>
      <c r="T377" t="str">
        <f t="shared" si="11"/>
        <v>Кроссовки и кеды</v>
      </c>
      <c r="U377">
        <f>'[1]Основной сток'!J374 - 1</f>
        <v>36.5</v>
      </c>
      <c r="V377" t="s">
        <v>43</v>
      </c>
      <c r="X377" t="s">
        <v>44</v>
      </c>
      <c r="Y377" t="s">
        <v>45</v>
      </c>
    </row>
    <row r="378" spans="1:25" x14ac:dyDescent="0.15">
      <c r="A378" s="6">
        <f>'[1]Основной сток'!A375</f>
        <v>3463168</v>
      </c>
      <c r="B378" t="s">
        <v>33</v>
      </c>
      <c r="D378" t="s">
        <v>34</v>
      </c>
      <c r="E378" t="s">
        <v>35</v>
      </c>
      <c r="F378" s="7" t="str">
        <f>PROPER(LEFT('[1]Основной сток'!I375,FIND(CHAR(10),'[1]Основной сток'!I375&amp;CHAR(10))-1))</f>
        <v>Jordan 1 Retro Low Og 'Mocha'</v>
      </c>
      <c r="G378" t="str">
        <f>F378 &amp; ", " &amp; '[1]Основной сток'!H375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сток'!J375 &amp; " / RU " &amp;
INDEX('[1]Размерная сетка'!$B$2:$B$40,MATCH('[1]Основной сток'!J375,'[1]Размерная сетка'!$A$2:$A$40,0)) &amp; " / US " &amp;
INDEX('[1]Размерная сетка'!$C$2:$C$40,MATCH('[1]Основной сток'!J375,'[1]Размерная сетка'!$A$2:$A$40,0)) &amp; " / см " &amp;
INDEX('[1]Размерная сетка'!$D$2:$D$40,MATCH('[1]Основной сток'!J375,'[1]Размерная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Retro Low Og 'Mocha', CZ0858-102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78" s="8">
        <f>'[1]Основной сток'!L375</f>
        <v>25000</v>
      </c>
      <c r="I378" s="1" t="str" cm="1">
        <f t="array" ref="I378">VLOOKUP(INDEX('[1]Основной сток'!H:H,ROW()-3),[1]Фотки!A:B,2,FALSE)</f>
        <v>https://i.ibb.co/vv1B4jLz/1.jpg|https://i.ibb.co/Mk95cPbB/2.jpg|https://i.ibb.co/VWV1DWB7/3.jpg|https://i.ibb.co/BV406dHx/4.jpg</v>
      </c>
      <c r="J378" t="s">
        <v>36</v>
      </c>
      <c r="K378" t="s">
        <v>37</v>
      </c>
      <c r="L378" t="str">
        <f t="shared" si="10"/>
        <v>Женская обувь</v>
      </c>
      <c r="M378" t="s">
        <v>38</v>
      </c>
      <c r="N378" t="s">
        <v>39</v>
      </c>
      <c r="O378" t="str">
        <f>PROPER('[1]Основной сток'!F375)</f>
        <v>Jordan</v>
      </c>
      <c r="P378" t="str">
        <f>'[1]Основной сток'!M375</f>
        <v>Черный</v>
      </c>
      <c r="R378" t="s">
        <v>41</v>
      </c>
      <c r="S378" t="s">
        <v>42</v>
      </c>
      <c r="T378" t="str">
        <f t="shared" si="11"/>
        <v>Кроссовки и кеды</v>
      </c>
      <c r="U378">
        <f>'[1]Основной сток'!J375 - 1</f>
        <v>37</v>
      </c>
      <c r="V378" t="s">
        <v>43</v>
      </c>
      <c r="X378" t="s">
        <v>44</v>
      </c>
      <c r="Y378" t="s">
        <v>45</v>
      </c>
    </row>
    <row r="379" spans="1:25" x14ac:dyDescent="0.15">
      <c r="A379" s="6">
        <f>'[1]Основной сток'!A376</f>
        <v>3463169</v>
      </c>
      <c r="B379" t="s">
        <v>33</v>
      </c>
      <c r="D379" t="s">
        <v>34</v>
      </c>
      <c r="E379" t="s">
        <v>35</v>
      </c>
      <c r="F379" s="7" t="str">
        <f>PROPER(LEFT('[1]Основной сток'!I376,FIND(CHAR(10),'[1]Основной сток'!I376&amp;CHAR(10))-1))</f>
        <v>Jordan 1 Retro Low Og 'Mocha'</v>
      </c>
      <c r="G379" t="str">
        <f>F379 &amp; ", " &amp; '[1]Основной сток'!H376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сток'!J376 &amp; " / RU " &amp;
INDEX('[1]Размерная сетка'!$B$2:$B$40,MATCH('[1]Основной сток'!J376,'[1]Размерная сетка'!$A$2:$A$40,0)) &amp; " / US " &amp;
INDEX('[1]Размерная сетка'!$C$2:$C$40,MATCH('[1]Основной сток'!J376,'[1]Размерная сетка'!$A$2:$A$40,0)) &amp; " / см " &amp;
INDEX('[1]Размерная сетка'!$D$2:$D$40,MATCH('[1]Основной сток'!J376,'[1]Размерная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Retro Low Og 'Mocha', CZ0858-102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79" s="8">
        <f>'[1]Основной сток'!L376</f>
        <v>25000</v>
      </c>
      <c r="I379" s="1" t="str" cm="1">
        <f t="array" ref="I379">VLOOKUP(INDEX('[1]Основной сток'!H:H,ROW()-3),[1]Фотки!A:B,2,FALSE)</f>
        <v>https://i.ibb.co/vv1B4jLz/1.jpg|https://i.ibb.co/Mk95cPbB/2.jpg|https://i.ibb.co/VWV1DWB7/3.jpg|https://i.ibb.co/BV406dHx/4.jpg</v>
      </c>
      <c r="J379" t="s">
        <v>36</v>
      </c>
      <c r="K379" t="s">
        <v>37</v>
      </c>
      <c r="L379" t="str">
        <f t="shared" si="10"/>
        <v>Женская обувь</v>
      </c>
      <c r="M379" t="s">
        <v>38</v>
      </c>
      <c r="N379" t="s">
        <v>39</v>
      </c>
      <c r="O379" t="str">
        <f>PROPER('[1]Основной сток'!F376)</f>
        <v>Jordan</v>
      </c>
      <c r="P379" t="str">
        <f>'[1]Основной сток'!M376</f>
        <v>Черный</v>
      </c>
      <c r="R379" t="s">
        <v>41</v>
      </c>
      <c r="S379" t="s">
        <v>42</v>
      </c>
      <c r="T379" t="str">
        <f t="shared" si="11"/>
        <v>Кроссовки и кеды</v>
      </c>
      <c r="U379">
        <f>'[1]Основной сток'!J376 - 1</f>
        <v>37.5</v>
      </c>
      <c r="V379" t="s">
        <v>43</v>
      </c>
      <c r="X379" t="s">
        <v>44</v>
      </c>
      <c r="Y379" t="s">
        <v>45</v>
      </c>
    </row>
    <row r="380" spans="1:25" x14ac:dyDescent="0.15">
      <c r="A380" s="6">
        <f>'[1]Основной сток'!A377</f>
        <v>3463170</v>
      </c>
      <c r="B380" t="s">
        <v>33</v>
      </c>
      <c r="D380" t="s">
        <v>34</v>
      </c>
      <c r="E380" t="s">
        <v>35</v>
      </c>
      <c r="F380" s="7" t="str">
        <f>PROPER(LEFT('[1]Основной сток'!I377,FIND(CHAR(10),'[1]Основной сток'!I377&amp;CHAR(10))-1))</f>
        <v>Jordan 1 Retro Low Og 'Mocha'</v>
      </c>
      <c r="G380" t="str">
        <f>F380 &amp; ", " &amp; '[1]Основной сток'!H377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сток'!J377 &amp; " / RU " &amp;
INDEX('[1]Размерная сетка'!$B$2:$B$40,MATCH('[1]Основной сток'!J377,'[1]Размерная сетка'!$A$2:$A$40,0)) &amp; " / US " &amp;
INDEX('[1]Размерная сетка'!$C$2:$C$40,MATCH('[1]Основной сток'!J377,'[1]Размерная сетка'!$A$2:$A$40,0)) &amp; " / см " &amp;
INDEX('[1]Размерная сетка'!$D$2:$D$40,MATCH('[1]Основной сток'!J377,'[1]Размерная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Retro Low Og 'Mocha', CZ0858-102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80" s="8">
        <f>'[1]Основной сток'!L377</f>
        <v>25000</v>
      </c>
      <c r="I380" s="1" t="str" cm="1">
        <f t="array" ref="I380">VLOOKUP(INDEX('[1]Основной сток'!H:H,ROW()-3),[1]Фотки!A:B,2,FALSE)</f>
        <v>https://i.ibb.co/vv1B4jLz/1.jpg|https://i.ibb.co/Mk95cPbB/2.jpg|https://i.ibb.co/VWV1DWB7/3.jpg|https://i.ibb.co/BV406dHx/4.jpg</v>
      </c>
      <c r="J380" t="s">
        <v>36</v>
      </c>
      <c r="K380" t="s">
        <v>37</v>
      </c>
      <c r="L380" t="str">
        <f t="shared" si="10"/>
        <v>Женская обувь</v>
      </c>
      <c r="M380" t="s">
        <v>38</v>
      </c>
      <c r="N380" t="s">
        <v>39</v>
      </c>
      <c r="O380" t="str">
        <f>PROPER('[1]Основной сток'!F377)</f>
        <v>Jordan</v>
      </c>
      <c r="P380" t="str">
        <f>'[1]Основной сток'!M377</f>
        <v>Черный</v>
      </c>
      <c r="R380" t="s">
        <v>41</v>
      </c>
      <c r="S380" t="s">
        <v>42</v>
      </c>
      <c r="T380" t="str">
        <f t="shared" si="11"/>
        <v>Кроссовки и кеды</v>
      </c>
      <c r="U380">
        <f>'[1]Основной сток'!J377 - 1</f>
        <v>37.5</v>
      </c>
      <c r="V380" t="s">
        <v>43</v>
      </c>
      <c r="X380" t="s">
        <v>44</v>
      </c>
      <c r="Y380" t="s">
        <v>45</v>
      </c>
    </row>
    <row r="381" spans="1:25" x14ac:dyDescent="0.15">
      <c r="A381" s="6">
        <f>'[1]Основной сток'!A378</f>
        <v>3463171</v>
      </c>
      <c r="B381" t="s">
        <v>33</v>
      </c>
      <c r="D381" t="s">
        <v>34</v>
      </c>
      <c r="E381" t="s">
        <v>35</v>
      </c>
      <c r="F381" s="7" t="str">
        <f>PROPER(LEFT('[1]Основной сток'!I378,FIND(CHAR(10),'[1]Основной сток'!I378&amp;CHAR(10))-1))</f>
        <v>Jordan 1 Retro Low Og 'Mocha'</v>
      </c>
      <c r="G381" t="str">
        <f>F381 &amp; ", " &amp; '[1]Основной сток'!H378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сток'!J378 &amp; " / RU " &amp;
INDEX('[1]Размерная сетка'!$B$2:$B$40,MATCH('[1]Основной сток'!J378,'[1]Размерная сетка'!$A$2:$A$40,0)) &amp; " / US " &amp;
INDEX('[1]Размерная сетка'!$C$2:$C$40,MATCH('[1]Основной сток'!J378,'[1]Размерная сетка'!$A$2:$A$40,0)) &amp; " / см " &amp;
INDEX('[1]Размерная сетка'!$D$2:$D$40,MATCH('[1]Основной сток'!J378,'[1]Размерная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Retro Low Og 'Mocha', CZ0858-102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81" s="8">
        <f>'[1]Основной сток'!L378</f>
        <v>25000</v>
      </c>
      <c r="I381" s="1" t="str" cm="1">
        <f t="array" ref="I381">VLOOKUP(INDEX('[1]Основной сток'!H:H,ROW()-3),[1]Фотки!A:B,2,FALSE)</f>
        <v>https://i.ibb.co/vv1B4jLz/1.jpg|https://i.ibb.co/Mk95cPbB/2.jpg|https://i.ibb.co/VWV1DWB7/3.jpg|https://i.ibb.co/BV406dHx/4.jpg</v>
      </c>
      <c r="J381" t="s">
        <v>36</v>
      </c>
      <c r="K381" t="s">
        <v>37</v>
      </c>
      <c r="L381" t="str">
        <f t="shared" si="10"/>
        <v>Женская обувь</v>
      </c>
      <c r="M381" t="s">
        <v>38</v>
      </c>
      <c r="N381" t="s">
        <v>39</v>
      </c>
      <c r="O381" t="str">
        <f>PROPER('[1]Основной сток'!F378)</f>
        <v>Jordan</v>
      </c>
      <c r="P381" t="str">
        <f>'[1]Основной сток'!M378</f>
        <v>Черный</v>
      </c>
      <c r="R381" t="s">
        <v>41</v>
      </c>
      <c r="S381" t="s">
        <v>42</v>
      </c>
      <c r="T381" t="str">
        <f t="shared" si="11"/>
        <v>Кроссовки и кеды</v>
      </c>
      <c r="U381">
        <f>'[1]Основной сток'!J378 - 1</f>
        <v>38</v>
      </c>
      <c r="V381" t="s">
        <v>43</v>
      </c>
      <c r="X381" t="s">
        <v>44</v>
      </c>
      <c r="Y381" t="s">
        <v>45</v>
      </c>
    </row>
    <row r="382" spans="1:25" x14ac:dyDescent="0.15">
      <c r="A382" s="6">
        <f>'[1]Основной сток'!A379</f>
        <v>3463172</v>
      </c>
      <c r="B382" t="s">
        <v>33</v>
      </c>
      <c r="D382" t="s">
        <v>34</v>
      </c>
      <c r="E382" t="s">
        <v>35</v>
      </c>
      <c r="F382" s="7" t="str">
        <f>PROPER(LEFT('[1]Основной сток'!I379,FIND(CHAR(10),'[1]Основной сток'!I379&amp;CHAR(10))-1))</f>
        <v>Jordan 1 Retro Low Og 'Mocha'</v>
      </c>
      <c r="G382" t="str">
        <f>F382 &amp; ", " &amp; '[1]Основной сток'!H379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сток'!J379 &amp; " / RU " &amp;
INDEX('[1]Размерная сетка'!$B$2:$B$40,MATCH('[1]Основной сток'!J379,'[1]Размерная сетка'!$A$2:$A$40,0)) &amp; " / US " &amp;
INDEX('[1]Размерная сетка'!$C$2:$C$40,MATCH('[1]Основной сток'!J379,'[1]Размерная сетка'!$A$2:$A$40,0)) &amp; " / см " &amp;
INDEX('[1]Размерная сетка'!$D$2:$D$40,MATCH('[1]Основной сток'!J379,'[1]Размерная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Retro Low Og 'Mocha', CZ0858-102
• В наличии в Москве
• Оригинал, можно проверить при получении
• Совершенно новые, полный комплект
• Размер: EU 39 / RU 38 / US 8 / см 24,5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82" s="8">
        <f>'[1]Основной сток'!L379</f>
        <v>25000</v>
      </c>
      <c r="I382" s="1" t="str" cm="1">
        <f t="array" ref="I382">VLOOKUP(INDEX('[1]Основной сток'!H:H,ROW()-3),[1]Фотки!A:B,2,FALSE)</f>
        <v>https://i.ibb.co/vv1B4jLz/1.jpg|https://i.ibb.co/Mk95cPbB/2.jpg|https://i.ibb.co/VWV1DWB7/3.jpg|https://i.ibb.co/BV406dHx/4.jpg</v>
      </c>
      <c r="J382" t="s">
        <v>36</v>
      </c>
      <c r="K382" t="s">
        <v>37</v>
      </c>
      <c r="L382" t="str">
        <f t="shared" si="10"/>
        <v>Женская обувь</v>
      </c>
      <c r="M382" t="s">
        <v>38</v>
      </c>
      <c r="N382" t="s">
        <v>39</v>
      </c>
      <c r="O382" t="str">
        <f>PROPER('[1]Основной сток'!F379)</f>
        <v>Jordan</v>
      </c>
      <c r="P382" t="str">
        <f>'[1]Основной сток'!M379</f>
        <v>Черный</v>
      </c>
      <c r="R382" t="s">
        <v>41</v>
      </c>
      <c r="S382" t="s">
        <v>42</v>
      </c>
      <c r="T382" t="str">
        <f t="shared" si="11"/>
        <v>Кроссовки и кеды</v>
      </c>
      <c r="U382">
        <f>'[1]Основной сток'!J379 - 1</f>
        <v>38</v>
      </c>
      <c r="V382" t="s">
        <v>43</v>
      </c>
      <c r="X382" t="s">
        <v>44</v>
      </c>
      <c r="Y382" t="s">
        <v>45</v>
      </c>
    </row>
    <row r="383" spans="1:25" x14ac:dyDescent="0.15">
      <c r="A383" s="6">
        <f>'[1]Основной сток'!A380</f>
        <v>3463181</v>
      </c>
      <c r="B383" t="s">
        <v>33</v>
      </c>
      <c r="D383" t="s">
        <v>34</v>
      </c>
      <c r="E383" t="s">
        <v>35</v>
      </c>
      <c r="F383" s="7" t="str">
        <f>PROPER(LEFT('[1]Основной сток'!I380,FIND(CHAR(10),'[1]Основной сток'!I380&amp;CHAR(10))-1))</f>
        <v>Jordan 1 Retro Low Og 'Mocha'</v>
      </c>
      <c r="G383" t="str">
        <f>F383 &amp; ", " &amp; '[1]Основной сток'!H380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сток'!J380 &amp; " / RU " &amp;
INDEX('[1]Размерная сетка'!$B$2:$B$40,MATCH('[1]Основной сток'!J380,'[1]Размерная сетка'!$A$2:$A$40,0)) &amp; " / US " &amp;
INDEX('[1]Размерная сетка'!$C$2:$C$40,MATCH('[1]Основной сток'!J380,'[1]Размерная сетка'!$A$2:$A$40,0)) &amp; " / см " &amp;
INDEX('[1]Размерная сетка'!$D$2:$D$40,MATCH('[1]Основной сток'!J380,'[1]Размерная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Retro Low Og 'Mocha', CZ0790-102
• В наличии в Москве
• Оригинал, можно проверить при получении
• Совершенно новые, полный комплект
• Размер: EU 42,5 / RU 41,5 / US 9 / см 26,7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83" s="8">
        <f>'[1]Основной сток'!L380</f>
        <v>28000</v>
      </c>
      <c r="I383" s="1" t="str" cm="1">
        <f t="array" ref="I383">VLOOKUP(INDEX('[1]Основной сток'!H:H,ROW()-3),[1]Фотки!A:B,2,FALSE)</f>
        <v>https://i.ibb.co/QjPkwQtd/1-1.jpg|https://i.ibb.co/YB6Bdsfh/2.jpg|https://i.ibb.co/jvbcH7gd/3.jpg|https://i.ibb.co/XZPdSYqj/4.jpg</v>
      </c>
      <c r="J383" t="s">
        <v>36</v>
      </c>
      <c r="K383" t="s">
        <v>37</v>
      </c>
      <c r="L383" t="str">
        <f t="shared" si="10"/>
        <v>Мужская обувь</v>
      </c>
      <c r="M383" t="s">
        <v>38</v>
      </c>
      <c r="N383" t="s">
        <v>39</v>
      </c>
      <c r="O383" t="str">
        <f>PROPER('[1]Основной сток'!F380)</f>
        <v>Jordan</v>
      </c>
      <c r="P383" t="str">
        <f>'[1]Основной сток'!M380</f>
        <v>Черный</v>
      </c>
      <c r="R383" t="s">
        <v>41</v>
      </c>
      <c r="S383" t="s">
        <v>42</v>
      </c>
      <c r="T383" t="str">
        <f t="shared" si="11"/>
        <v>Кроссовки</v>
      </c>
      <c r="U383">
        <f>'[1]Основной сток'!J380 - 1</f>
        <v>41.5</v>
      </c>
      <c r="V383" t="s">
        <v>43</v>
      </c>
      <c r="X383" t="s">
        <v>44</v>
      </c>
      <c r="Y383" t="s">
        <v>45</v>
      </c>
    </row>
    <row r="384" spans="1:25" x14ac:dyDescent="0.15">
      <c r="A384" s="6">
        <f>'[1]Основной сток'!A381</f>
        <v>3463182</v>
      </c>
      <c r="B384" t="s">
        <v>33</v>
      </c>
      <c r="D384" t="s">
        <v>34</v>
      </c>
      <c r="E384" t="s">
        <v>35</v>
      </c>
      <c r="F384" s="7" t="str">
        <f>PROPER(LEFT('[1]Основной сток'!I381,FIND(CHAR(10),'[1]Основной сток'!I381&amp;CHAR(10))-1))</f>
        <v>Jordan 1 Retro Low Og 'Mocha'</v>
      </c>
      <c r="G384" t="str">
        <f>F384 &amp; ", " &amp; '[1]Основной сток'!H381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сток'!J381 &amp; " / RU " &amp;
INDEX('[1]Размерная сетка'!$B$2:$B$40,MATCH('[1]Основной сток'!J381,'[1]Размерная сетка'!$A$2:$A$40,0)) &amp; " / US " &amp;
INDEX('[1]Размерная сетка'!$C$2:$C$40,MATCH('[1]Основной сток'!J381,'[1]Размерная сетка'!$A$2:$A$40,0)) &amp; " / см " &amp;
INDEX('[1]Размерная сетка'!$D$2:$D$40,MATCH('[1]Основной сток'!J381,'[1]Размерная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Retro Low Og 'Mocha', CZ0790-102
• В наличии в Москве
• Оригинал, можно проверить при получении
• Совершенно новые, полный комплект
• Размер: EU 43 / RU 42 / US 9,5 / см 27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84" s="8">
        <f>'[1]Основной сток'!L381</f>
        <v>28000</v>
      </c>
      <c r="I384" s="1" t="str" cm="1">
        <f t="array" ref="I384">VLOOKUP(INDEX('[1]Основной сток'!H:H,ROW()-3),[1]Фотки!A:B,2,FALSE)</f>
        <v>https://i.ibb.co/QjPkwQtd/1-1.jpg|https://i.ibb.co/YB6Bdsfh/2.jpg|https://i.ibb.co/jvbcH7gd/3.jpg|https://i.ibb.co/XZPdSYqj/4.jpg</v>
      </c>
      <c r="J384" t="s">
        <v>36</v>
      </c>
      <c r="K384" t="s">
        <v>37</v>
      </c>
      <c r="L384" t="str">
        <f t="shared" si="10"/>
        <v>Мужская обувь</v>
      </c>
      <c r="M384" t="s">
        <v>38</v>
      </c>
      <c r="N384" t="s">
        <v>39</v>
      </c>
      <c r="O384" t="str">
        <f>PROPER('[1]Основной сток'!F381)</f>
        <v>Jordan</v>
      </c>
      <c r="P384" t="str">
        <f>'[1]Основной сток'!M381</f>
        <v>Черный</v>
      </c>
      <c r="R384" t="s">
        <v>41</v>
      </c>
      <c r="S384" t="s">
        <v>42</v>
      </c>
      <c r="T384" t="str">
        <f t="shared" si="11"/>
        <v>Кроссовки</v>
      </c>
      <c r="U384">
        <f>'[1]Основной сток'!J381 - 1</f>
        <v>42</v>
      </c>
      <c r="V384" t="s">
        <v>43</v>
      </c>
      <c r="X384" t="s">
        <v>44</v>
      </c>
      <c r="Y384" t="s">
        <v>45</v>
      </c>
    </row>
    <row r="385" spans="1:25" x14ac:dyDescent="0.15">
      <c r="A385" s="6">
        <f>'[1]Основной сток'!A382</f>
        <v>3463183</v>
      </c>
      <c r="B385" t="s">
        <v>33</v>
      </c>
      <c r="D385" t="s">
        <v>34</v>
      </c>
      <c r="E385" t="s">
        <v>35</v>
      </c>
      <c r="F385" s="7" t="str">
        <f>PROPER(LEFT('[1]Основной сток'!I382,FIND(CHAR(10),'[1]Основной сток'!I382&amp;CHAR(10))-1))</f>
        <v>Jordan 1 Retro Low Og 'Mocha'</v>
      </c>
      <c r="G385" t="str">
        <f>F385 &amp; ", " &amp; '[1]Основной сток'!H382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сток'!J382 &amp; " / RU " &amp;
INDEX('[1]Размерная сетка'!$B$2:$B$40,MATCH('[1]Основной сток'!J382,'[1]Размерная сетка'!$A$2:$A$40,0)) &amp; " / US " &amp;
INDEX('[1]Размерная сетка'!$C$2:$C$40,MATCH('[1]Основной сток'!J382,'[1]Размерная сетка'!$A$2:$A$40,0)) &amp; " / см " &amp;
INDEX('[1]Размерная сетка'!$D$2:$D$40,MATCH('[1]Основной сток'!J382,'[1]Размерная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Retro Low Og 'Mocha', CZ0790-102
• В наличии в Москве
• Оригинал, можно проверить при получении
• Совершенно новые, полный комплект
• Размер: EU 44 / RU 43 / US 10 / см 27,7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85" s="8">
        <f>'[1]Основной сток'!L382</f>
        <v>28000</v>
      </c>
      <c r="I385" s="1" t="str" cm="1">
        <f t="array" ref="I385">VLOOKUP(INDEX('[1]Основной сток'!H:H,ROW()-3),[1]Фотки!A:B,2,FALSE)</f>
        <v>https://i.ibb.co/QjPkwQtd/1-1.jpg|https://i.ibb.co/YB6Bdsfh/2.jpg|https://i.ibb.co/jvbcH7gd/3.jpg|https://i.ibb.co/XZPdSYqj/4.jpg</v>
      </c>
      <c r="J385" t="s">
        <v>36</v>
      </c>
      <c r="K385" t="s">
        <v>37</v>
      </c>
      <c r="L385" t="str">
        <f t="shared" si="10"/>
        <v>Мужская обувь</v>
      </c>
      <c r="M385" t="s">
        <v>38</v>
      </c>
      <c r="N385" t="s">
        <v>39</v>
      </c>
      <c r="O385" t="str">
        <f>PROPER('[1]Основной сток'!F382)</f>
        <v>Jordan</v>
      </c>
      <c r="P385" t="str">
        <f>'[1]Основной сток'!M382</f>
        <v>Черный</v>
      </c>
      <c r="R385" t="s">
        <v>41</v>
      </c>
      <c r="S385" t="s">
        <v>42</v>
      </c>
      <c r="T385" t="str">
        <f t="shared" si="11"/>
        <v>Кроссовки</v>
      </c>
      <c r="U385">
        <f>'[1]Основной сток'!J382 - 1</f>
        <v>43</v>
      </c>
      <c r="V385" t="s">
        <v>43</v>
      </c>
      <c r="X385" t="s">
        <v>44</v>
      </c>
      <c r="Y385" t="s">
        <v>45</v>
      </c>
    </row>
    <row r="386" spans="1:25" x14ac:dyDescent="0.15">
      <c r="A386" s="6">
        <f>'[1]Основной сток'!A383</f>
        <v>3463184</v>
      </c>
      <c r="B386" t="s">
        <v>33</v>
      </c>
      <c r="D386" t="s">
        <v>34</v>
      </c>
      <c r="E386" t="s">
        <v>35</v>
      </c>
      <c r="F386" s="7" t="str">
        <f>PROPER(LEFT('[1]Основной сток'!I383,FIND(CHAR(10),'[1]Основной сток'!I383&amp;CHAR(10))-1))</f>
        <v>Jordan 1 Retro Low Og 'Mocha'</v>
      </c>
      <c r="G386" t="str">
        <f>F386 &amp; ", " &amp; '[1]Основной сток'!H383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сток'!J383 &amp; " / RU " &amp;
INDEX('[1]Размерная сетка'!$B$2:$B$40,MATCH('[1]Основной сток'!J383,'[1]Размерная сетка'!$A$2:$A$40,0)) &amp; " / US " &amp;
INDEX('[1]Размерная сетка'!$C$2:$C$40,MATCH('[1]Основной сток'!J383,'[1]Размерная сетка'!$A$2:$A$40,0)) &amp; " / см " &amp;
INDEX('[1]Размерная сетка'!$D$2:$D$40,MATCH('[1]Основной сток'!J383,'[1]Размерная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Retro Low Og 'Mocha', CZ0790-102
• В наличии в Москве
• Оригинал, можно проверить при получении
• Совершенно новые, полный комплект
• Размер: EU 44,5 / RU 43,5 / US 10,5 / см 28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86" s="8">
        <f>'[1]Основной сток'!L383</f>
        <v>28000</v>
      </c>
      <c r="I386" s="1" t="str" cm="1">
        <f t="array" ref="I386">VLOOKUP(INDEX('[1]Основной сток'!H:H,ROW()-3),[1]Фотки!A:B,2,FALSE)</f>
        <v>https://i.ibb.co/QjPkwQtd/1-1.jpg|https://i.ibb.co/YB6Bdsfh/2.jpg|https://i.ibb.co/jvbcH7gd/3.jpg|https://i.ibb.co/XZPdSYqj/4.jpg</v>
      </c>
      <c r="J386" t="s">
        <v>36</v>
      </c>
      <c r="K386" t="s">
        <v>37</v>
      </c>
      <c r="L386" t="str">
        <f t="shared" si="10"/>
        <v>Мужская обувь</v>
      </c>
      <c r="M386" t="s">
        <v>38</v>
      </c>
      <c r="N386" t="s">
        <v>39</v>
      </c>
      <c r="O386" t="str">
        <f>PROPER('[1]Основной сток'!F383)</f>
        <v>Jordan</v>
      </c>
      <c r="P386" t="str">
        <f>'[1]Основной сток'!M383</f>
        <v>Черный</v>
      </c>
      <c r="R386" t="s">
        <v>41</v>
      </c>
      <c r="S386" t="s">
        <v>42</v>
      </c>
      <c r="T386" t="str">
        <f t="shared" si="11"/>
        <v>Кроссовки</v>
      </c>
      <c r="U386">
        <f>'[1]Основной сток'!J383 - 1</f>
        <v>43.5</v>
      </c>
      <c r="V386" t="s">
        <v>43</v>
      </c>
      <c r="X386" t="s">
        <v>44</v>
      </c>
      <c r="Y386" t="s">
        <v>45</v>
      </c>
    </row>
    <row r="387" spans="1:25" x14ac:dyDescent="0.15">
      <c r="A387" s="6">
        <f>'[1]Основной сток'!A384</f>
        <v>3463185</v>
      </c>
      <c r="B387" t="s">
        <v>33</v>
      </c>
      <c r="D387" t="s">
        <v>34</v>
      </c>
      <c r="E387" t="s">
        <v>35</v>
      </c>
      <c r="F387" s="7" t="str">
        <f>PROPER(LEFT('[1]Основной сток'!I384,FIND(CHAR(10),'[1]Основной сток'!I384&amp;CHAR(10))-1))</f>
        <v>Jordan 1 Retro Low Og 'Mocha'</v>
      </c>
      <c r="G387" t="str">
        <f>F387 &amp; ", " &amp; '[1]Основной сток'!H384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сток'!J384 &amp; " / RU " &amp;
INDEX('[1]Размерная сетка'!$B$2:$B$40,MATCH('[1]Основной сток'!J384,'[1]Размерная сетка'!$A$2:$A$40,0)) &amp; " / US " &amp;
INDEX('[1]Размерная сетка'!$C$2:$C$40,MATCH('[1]Основной сток'!J384,'[1]Размерная сетка'!$A$2:$A$40,0)) &amp; " / см " &amp;
INDEX('[1]Размерная сетка'!$D$2:$D$40,MATCH('[1]Основной сток'!J384,'[1]Размерная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Retro Low Og 'Mocha', CZ0790-102
• В наличии в Москве
• Оригинал, можно проверить при получении
• Совершенно новые, полный комплект
• Размер: EU 45 / RU 44 / US 11 / см 28,3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87" s="8">
        <f>'[1]Основной сток'!L384</f>
        <v>28000</v>
      </c>
      <c r="I387" s="1" t="str" cm="1">
        <f t="array" ref="I387">VLOOKUP(INDEX('[1]Основной сток'!H:H,ROW()-3),[1]Фотки!A:B,2,FALSE)</f>
        <v>https://i.ibb.co/QjPkwQtd/1-1.jpg|https://i.ibb.co/YB6Bdsfh/2.jpg|https://i.ibb.co/jvbcH7gd/3.jpg|https://i.ibb.co/XZPdSYqj/4.jpg</v>
      </c>
      <c r="J387" t="s">
        <v>36</v>
      </c>
      <c r="K387" t="s">
        <v>37</v>
      </c>
      <c r="L387" t="str">
        <f t="shared" si="10"/>
        <v>Мужская обувь</v>
      </c>
      <c r="M387" t="s">
        <v>38</v>
      </c>
      <c r="N387" t="s">
        <v>39</v>
      </c>
      <c r="O387" t="str">
        <f>PROPER('[1]Основной сток'!F384)</f>
        <v>Jordan</v>
      </c>
      <c r="P387" t="str">
        <f>'[1]Основной сток'!M384</f>
        <v>Черный</v>
      </c>
      <c r="R387" t="s">
        <v>41</v>
      </c>
      <c r="S387" t="s">
        <v>42</v>
      </c>
      <c r="T387" t="str">
        <f t="shared" si="11"/>
        <v>Кроссовки</v>
      </c>
      <c r="U387">
        <f>'[1]Основной сток'!J384 - 1</f>
        <v>44</v>
      </c>
      <c r="V387" t="s">
        <v>43</v>
      </c>
      <c r="X387" t="s">
        <v>44</v>
      </c>
      <c r="Y387" t="s">
        <v>45</v>
      </c>
    </row>
    <row r="388" spans="1:25" x14ac:dyDescent="0.15">
      <c r="A388" s="6">
        <f>'[1]Основной сток'!A385</f>
        <v>3463209</v>
      </c>
      <c r="B388" t="s">
        <v>33</v>
      </c>
      <c r="D388" t="s">
        <v>34</v>
      </c>
      <c r="E388" t="s">
        <v>35</v>
      </c>
      <c r="F388" s="7" t="str">
        <f>PROPER(LEFT('[1]Основной сток'!I385,FIND(CHAR(10),'[1]Основной сток'!I385&amp;CHAR(10))-1))</f>
        <v>Adidas Wmns Sl72 Og 'Preloved Brown'</v>
      </c>
      <c r="G388" t="str">
        <f>F388 &amp; ", " &amp; '[1]Основной сток'!H385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сток'!J385 &amp; " / RU " &amp;
INDEX('[1]Размерная сетка'!$B$2:$B$40,MATCH('[1]Основной сток'!J385,'[1]Размерная сетка'!$A$2:$A$40,0)) &amp; " / US " &amp;
INDEX('[1]Размерная сетка'!$C$2:$C$40,MATCH('[1]Основной сток'!J385,'[1]Размерная сетка'!$A$2:$A$40,0)) &amp; " / см " &amp;
INDEX('[1]Размерная сетка'!$D$2:$D$40,MATCH('[1]Основной сток'!J385,'[1]Размерная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Wmns Sl72 Og 'Preloved Brown', IE3425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88" s="8">
        <f>'[1]Основной сток'!L385</f>
        <v>15000</v>
      </c>
      <c r="I388" s="1" t="str" cm="1">
        <f t="array" ref="I388">VLOOKUP(INDEX('[1]Основной сток'!H:H,ROW()-3),[1]Фотки!A:B,2,FALSE)</f>
        <v>https://i.ibb.co/nMPsJBz0/1-1.jpg|https://i.ibb.co/1p30hpY/2.jpg|https://i.ibb.co/xSdz9QYm/3.jpg|https://i.ibb.co/xK8hD9kc/4.jpg</v>
      </c>
      <c r="J388" t="s">
        <v>36</v>
      </c>
      <c r="K388" t="s">
        <v>37</v>
      </c>
      <c r="L388" t="str">
        <f t="shared" si="10"/>
        <v>Женская обувь</v>
      </c>
      <c r="M388" t="s">
        <v>38</v>
      </c>
      <c r="N388" t="s">
        <v>39</v>
      </c>
      <c r="O388" t="str">
        <f>PROPER('[1]Основной сток'!F385)</f>
        <v>Adidas</v>
      </c>
      <c r="P388" t="str">
        <f>'[1]Основной сток'!M385</f>
        <v>Коричневый</v>
      </c>
      <c r="R388" t="s">
        <v>41</v>
      </c>
      <c r="S388" t="s">
        <v>42</v>
      </c>
      <c r="T388" t="str">
        <f t="shared" si="11"/>
        <v>Кроссовки и кеды</v>
      </c>
      <c r="U388">
        <f>'[1]Основной сток'!J385 - 1</f>
        <v>37</v>
      </c>
      <c r="V388" t="s">
        <v>43</v>
      </c>
      <c r="X388" t="s">
        <v>44</v>
      </c>
      <c r="Y388" t="s">
        <v>45</v>
      </c>
    </row>
    <row r="389" spans="1:25" x14ac:dyDescent="0.15">
      <c r="A389" s="6">
        <f>'[1]Основной сток'!A386</f>
        <v>3463210</v>
      </c>
      <c r="B389" t="s">
        <v>33</v>
      </c>
      <c r="D389" t="s">
        <v>34</v>
      </c>
      <c r="E389" t="s">
        <v>35</v>
      </c>
      <c r="F389" s="7" t="str">
        <f>PROPER(LEFT('[1]Основной сток'!I386,FIND(CHAR(10),'[1]Основной сток'!I386&amp;CHAR(10))-1))</f>
        <v>Adidas Wmns Sl72 Og 'Preloved Brown'</v>
      </c>
      <c r="G389" t="str">
        <f>F389 &amp; ", " &amp; '[1]Основной сток'!H386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сток'!J386 &amp; " / RU " &amp;
INDEX('[1]Размерная сетка'!$B$2:$B$40,MATCH('[1]Основной сток'!J386,'[1]Размерная сетка'!$A$2:$A$40,0)) &amp; " / US " &amp;
INDEX('[1]Размерная сетка'!$C$2:$C$40,MATCH('[1]Основной сток'!J386,'[1]Размерная сетка'!$A$2:$A$40,0)) &amp; " / см " &amp;
INDEX('[1]Размерная сетка'!$D$2:$D$40,MATCH('[1]Основной сток'!J386,'[1]Размерная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Wmns Sl72 Og 'Preloved Brown', IE3425
• В наличии в Москве
• Оригинал, можно проверить при получении
• Совершенно новые, полный комплект
• Размер: EU 38,5 / RU 37,5 / US 7,5 / см 24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89" s="8">
        <f>'[1]Основной сток'!L386</f>
        <v>15000</v>
      </c>
      <c r="I389" s="1" t="str" cm="1">
        <f t="array" ref="I389">VLOOKUP(INDEX('[1]Основной сток'!H:H,ROW()-3),[1]Фотки!A:B,2,FALSE)</f>
        <v>https://i.ibb.co/nMPsJBz0/1-1.jpg|https://i.ibb.co/1p30hpY/2.jpg|https://i.ibb.co/xSdz9QYm/3.jpg|https://i.ibb.co/xK8hD9kc/4.jpg</v>
      </c>
      <c r="J389" t="s">
        <v>36</v>
      </c>
      <c r="K389" t="s">
        <v>37</v>
      </c>
      <c r="L389" t="str">
        <f t="shared" si="10"/>
        <v>Женская обувь</v>
      </c>
      <c r="M389" t="s">
        <v>38</v>
      </c>
      <c r="N389" t="s">
        <v>39</v>
      </c>
      <c r="O389" t="str">
        <f>PROPER('[1]Основной сток'!F386)</f>
        <v>Adidas</v>
      </c>
      <c r="P389" t="str">
        <f>'[1]Основной сток'!M386</f>
        <v>Коричневый</v>
      </c>
      <c r="R389" t="s">
        <v>41</v>
      </c>
      <c r="S389" t="s">
        <v>42</v>
      </c>
      <c r="T389" t="str">
        <f t="shared" si="11"/>
        <v>Кроссовки и кеды</v>
      </c>
      <c r="U389">
        <f>'[1]Основной сток'!J386 - 1</f>
        <v>37.5</v>
      </c>
      <c r="V389" t="s">
        <v>43</v>
      </c>
      <c r="X389" t="s">
        <v>44</v>
      </c>
      <c r="Y389" t="s">
        <v>45</v>
      </c>
    </row>
    <row r="390" spans="1:25" x14ac:dyDescent="0.15">
      <c r="A390" s="6">
        <f>'[1]Основной сток'!A387</f>
        <v>3469616</v>
      </c>
      <c r="B390" t="s">
        <v>33</v>
      </c>
      <c r="D390" t="s">
        <v>34</v>
      </c>
      <c r="E390" t="s">
        <v>35</v>
      </c>
      <c r="F390" s="7" t="str">
        <f>PROPER(LEFT('[1]Основной сток'!I387,FIND(CHAR(10),'[1]Основной сток'!I387&amp;CHAR(10))-1))</f>
        <v>Jordan 1 Retro Low Og 'Mocha'</v>
      </c>
      <c r="G390" t="str">
        <f>F390 &amp; ", " &amp; '[1]Основной сток'!H387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сток'!J387 &amp; " / RU " &amp;
INDEX('[1]Размерная сетка'!$B$2:$B$40,MATCH('[1]Основной сток'!J387,'[1]Размерная сетка'!$A$2:$A$40,0)) &amp; " / US " &amp;
INDEX('[1]Размерная сетка'!$C$2:$C$40,MATCH('[1]Основной сток'!J387,'[1]Размерная сетка'!$A$2:$A$40,0)) &amp; " / см " &amp;
INDEX('[1]Размерная сетка'!$D$2:$D$40,MATCH('[1]Основной сток'!J387,'[1]Размерная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Retro Low Og 'Mocha', CZ0858-102
• В наличии в Москве
• Оригинал, можно проверить при получении
• Совершенно новые, полный комплект
• Размер: EU 36,5 / RU 35,5 / US 6 / см 22,7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90" s="8">
        <f>'[1]Основной сток'!L387</f>
        <v>25000</v>
      </c>
      <c r="I390" s="1" t="str" cm="1">
        <f t="array" ref="I390">VLOOKUP(INDEX('[1]Основной сток'!H:H,ROW()-3),[1]Фотки!A:B,2,FALSE)</f>
        <v>https://i.ibb.co/vv1B4jLz/1.jpg|https://i.ibb.co/Mk95cPbB/2.jpg|https://i.ibb.co/VWV1DWB7/3.jpg|https://i.ibb.co/BV406dHx/4.jpg</v>
      </c>
      <c r="J390" t="s">
        <v>36</v>
      </c>
      <c r="K390" t="s">
        <v>37</v>
      </c>
      <c r="L390" t="str">
        <f t="shared" ref="L390:L395" si="12">IF(U390&lt;=40,"Женская обувь","Мужская обувь")</f>
        <v>Женская обувь</v>
      </c>
      <c r="M390" t="s">
        <v>38</v>
      </c>
      <c r="N390" t="s">
        <v>39</v>
      </c>
      <c r="O390" t="str">
        <f>PROPER('[1]Основной сток'!F387)</f>
        <v>Jordan</v>
      </c>
      <c r="P390" t="str">
        <f>'[1]Основной сток'!M387</f>
        <v>Черный</v>
      </c>
      <c r="R390" t="s">
        <v>41</v>
      </c>
      <c r="S390" t="s">
        <v>42</v>
      </c>
      <c r="T390" t="str">
        <f t="shared" si="11"/>
        <v>Кроссовки и кеды</v>
      </c>
      <c r="U390">
        <f>'[1]Основной сток'!J387 - 1</f>
        <v>35.5</v>
      </c>
      <c r="V390" t="s">
        <v>43</v>
      </c>
      <c r="X390" t="s">
        <v>44</v>
      </c>
      <c r="Y390" t="s">
        <v>45</v>
      </c>
    </row>
    <row r="391" spans="1:25" x14ac:dyDescent="0.15">
      <c r="A391" s="6">
        <f>'[1]Основной сток'!A388</f>
        <v>3469617</v>
      </c>
      <c r="B391" t="s">
        <v>33</v>
      </c>
      <c r="D391" t="s">
        <v>34</v>
      </c>
      <c r="E391" t="s">
        <v>35</v>
      </c>
      <c r="F391" s="7" t="str">
        <f>PROPER(LEFT('[1]Основной сток'!I388,FIND(CHAR(10),'[1]Основной сток'!I388&amp;CHAR(10))-1))</f>
        <v>Jordan 1 Retro Low Og 'Mocha'</v>
      </c>
      <c r="G391" t="str">
        <f>F391 &amp; ", " &amp; '[1]Основной сток'!H388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сток'!J388 &amp; " / RU " &amp;
INDEX('[1]Размерная сетка'!$B$2:$B$40,MATCH('[1]Основной сток'!J388,'[1]Размерная сетка'!$A$2:$A$40,0)) &amp; " / US " &amp;
INDEX('[1]Размерная сетка'!$C$2:$C$40,MATCH('[1]Основной сток'!J388,'[1]Размерная сетка'!$A$2:$A$40,0)) &amp; " / см " &amp;
INDEX('[1]Размерная сетка'!$D$2:$D$40,MATCH('[1]Основной сток'!J388,'[1]Размерная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Retro Low Og 'Mocha', CZ0858-102
• В наличии в Москве
• Оригинал, можно проверить при получении
• Совершенно новые, полный комплект
• Размер: EU 38 / RU 37 / US 7 / см 23,5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91" s="8">
        <f>'[1]Основной сток'!L388</f>
        <v>25000</v>
      </c>
      <c r="I391" s="1" t="str" cm="1">
        <f t="array" ref="I391">VLOOKUP(INDEX('[1]Основной сток'!H:H,ROW()-3),[1]Фотки!A:B,2,FALSE)</f>
        <v>https://i.ibb.co/vv1B4jLz/1.jpg|https://i.ibb.co/Mk95cPbB/2.jpg|https://i.ibb.co/VWV1DWB7/3.jpg|https://i.ibb.co/BV406dHx/4.jpg</v>
      </c>
      <c r="J391" t="s">
        <v>36</v>
      </c>
      <c r="K391" t="s">
        <v>37</v>
      </c>
      <c r="L391" t="str">
        <f t="shared" si="12"/>
        <v>Женская обувь</v>
      </c>
      <c r="M391" t="s">
        <v>38</v>
      </c>
      <c r="N391" t="s">
        <v>39</v>
      </c>
      <c r="O391" t="str">
        <f>PROPER('[1]Основной сток'!F388)</f>
        <v>Jordan</v>
      </c>
      <c r="P391" t="str">
        <f>'[1]Основной сток'!M388</f>
        <v>Черный</v>
      </c>
      <c r="R391" t="s">
        <v>41</v>
      </c>
      <c r="S391" t="s">
        <v>42</v>
      </c>
      <c r="T391" t="str">
        <f t="shared" ref="T391:T395" si="13">IF(L391="Мужская обувь","Кроссовки","Кроссовки и кеды")</f>
        <v>Кроссовки и кеды</v>
      </c>
      <c r="U391">
        <f>'[1]Основной сток'!J388 - 1</f>
        <v>37</v>
      </c>
      <c r="V391" t="s">
        <v>43</v>
      </c>
      <c r="X391" t="s">
        <v>44</v>
      </c>
      <c r="Y391" t="s">
        <v>45</v>
      </c>
    </row>
    <row r="392" spans="1:25" x14ac:dyDescent="0.15">
      <c r="A392" s="6">
        <f>'[1]Основной сток'!A389</f>
        <v>3469618</v>
      </c>
      <c r="B392" t="s">
        <v>33</v>
      </c>
      <c r="D392" t="s">
        <v>34</v>
      </c>
      <c r="E392" t="s">
        <v>35</v>
      </c>
      <c r="F392" s="7" t="str">
        <f>PROPER(LEFT('[1]Основной сток'!I389,FIND(CHAR(10),'[1]Основной сток'!I389&amp;CHAR(10))-1))</f>
        <v>Jordan 1 Retro Low Og 'Mocha'</v>
      </c>
      <c r="G392" t="str">
        <f>F392 &amp; ", " &amp; '[1]Основной сток'!H389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сток'!J389 &amp; " / RU " &amp;
INDEX('[1]Размерная сетка'!$B$2:$B$40,MATCH('[1]Основной сток'!J389,'[1]Размерная сетка'!$A$2:$A$40,0)) &amp; " / US " &amp;
INDEX('[1]Размерная сетка'!$C$2:$C$40,MATCH('[1]Основной сток'!J389,'[1]Размерная сетка'!$A$2:$A$40,0)) &amp; " / см " &amp;
INDEX('[1]Размерная сетка'!$D$2:$D$40,MATCH('[1]Основной сток'!J389,'[1]Размерная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Retro Low Og 'Mocha', CZ0858-102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92" s="8">
        <f>'[1]Основной сток'!L389</f>
        <v>25000</v>
      </c>
      <c r="I392" s="1" t="str" cm="1">
        <f t="array" ref="I392">VLOOKUP(INDEX('[1]Основной сток'!H:H,ROW()-3),[1]Фотки!A:B,2,FALSE)</f>
        <v>https://i.ibb.co/vv1B4jLz/1.jpg|https://i.ibb.co/Mk95cPbB/2.jpg|https://i.ibb.co/VWV1DWB7/3.jpg|https://i.ibb.co/BV406dHx/4.jpg</v>
      </c>
      <c r="J392" t="s">
        <v>36</v>
      </c>
      <c r="K392" t="s">
        <v>37</v>
      </c>
      <c r="L392" t="str">
        <f t="shared" si="12"/>
        <v>Женская обувь</v>
      </c>
      <c r="M392" t="s">
        <v>38</v>
      </c>
      <c r="N392" t="s">
        <v>39</v>
      </c>
      <c r="O392" t="str">
        <f>PROPER('[1]Основной сток'!F389)</f>
        <v>Jordan</v>
      </c>
      <c r="P392" t="str">
        <f>'[1]Основной сток'!M389</f>
        <v>Черный</v>
      </c>
      <c r="R392" t="s">
        <v>41</v>
      </c>
      <c r="S392" t="s">
        <v>42</v>
      </c>
      <c r="T392" t="str">
        <f t="shared" si="13"/>
        <v>Кроссовки и кеды</v>
      </c>
      <c r="U392">
        <f>'[1]Основной сток'!J389 - 1</f>
        <v>39</v>
      </c>
      <c r="V392" t="s">
        <v>43</v>
      </c>
      <c r="X392" t="s">
        <v>44</v>
      </c>
      <c r="Y392" t="s">
        <v>45</v>
      </c>
    </row>
    <row r="393" spans="1:25" x14ac:dyDescent="0.15">
      <c r="A393" s="6">
        <f>'[1]Основной сток'!A390</f>
        <v>3469619</v>
      </c>
      <c r="B393" t="s">
        <v>33</v>
      </c>
      <c r="D393" t="s">
        <v>34</v>
      </c>
      <c r="E393" t="s">
        <v>35</v>
      </c>
      <c r="F393" s="7" t="str">
        <f>PROPER(LEFT('[1]Основной сток'!I390,FIND(CHAR(10),'[1]Основной сток'!I390&amp;CHAR(10))-1))</f>
        <v>Jordan 1 Retro Low Og 'Mocha'</v>
      </c>
      <c r="G393" t="str">
        <f>F393 &amp; ", " &amp; '[1]Основной сток'!H390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сток'!J390 &amp; " / RU " &amp;
INDEX('[1]Размерная сетка'!$B$2:$B$40,MATCH('[1]Основной сток'!J390,'[1]Размерная сетка'!$A$2:$A$40,0)) &amp; " / US " &amp;
INDEX('[1]Размерная сетка'!$C$2:$C$40,MATCH('[1]Основной сток'!J390,'[1]Размерная сетка'!$A$2:$A$40,0)) &amp; " / см " &amp;
INDEX('[1]Размерная сетка'!$D$2:$D$40,MATCH('[1]Основной сток'!J390,'[1]Размерная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Jordan 1 Retro Low Og 'Mocha', CZ0858-102
• В наличии в Москве
• Оригинал, можно проверить при получении
• Совершенно новые, полный комплект
• Размер: EU 40 / RU 39 / US 8,5 / см 25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93" s="8">
        <f>'[1]Основной сток'!L390</f>
        <v>25000</v>
      </c>
      <c r="I393" s="1" t="str" cm="1">
        <f t="array" ref="I393">VLOOKUP(INDEX('[1]Основной сток'!H:H,ROW()-3),[1]Фотки!A:B,2,FALSE)</f>
        <v>https://i.ibb.co/vv1B4jLz/1.jpg|https://i.ibb.co/Mk95cPbB/2.jpg|https://i.ibb.co/VWV1DWB7/3.jpg|https://i.ibb.co/BV406dHx/4.jpg</v>
      </c>
      <c r="J393" t="s">
        <v>36</v>
      </c>
      <c r="K393" t="s">
        <v>37</v>
      </c>
      <c r="L393" t="str">
        <f t="shared" si="12"/>
        <v>Женская обувь</v>
      </c>
      <c r="M393" t="s">
        <v>38</v>
      </c>
      <c r="N393" t="s">
        <v>39</v>
      </c>
      <c r="O393" t="str">
        <f>PROPER('[1]Основной сток'!F390)</f>
        <v>Jordan</v>
      </c>
      <c r="P393" t="str">
        <f>'[1]Основной сток'!M390</f>
        <v>Черный</v>
      </c>
      <c r="R393" t="s">
        <v>41</v>
      </c>
      <c r="S393" t="s">
        <v>42</v>
      </c>
      <c r="T393" t="str">
        <f t="shared" si="13"/>
        <v>Кроссовки и кеды</v>
      </c>
      <c r="U393">
        <f>'[1]Основной сток'!J390 - 1</f>
        <v>39</v>
      </c>
      <c r="V393" t="s">
        <v>43</v>
      </c>
      <c r="X393" t="s">
        <v>44</v>
      </c>
      <c r="Y393" t="s">
        <v>45</v>
      </c>
    </row>
    <row r="394" spans="1:25" x14ac:dyDescent="0.15">
      <c r="A394" s="6">
        <f>'[1]Основной сток'!A391</f>
        <v>3469944</v>
      </c>
      <c r="B394" t="s">
        <v>33</v>
      </c>
      <c r="D394" t="s">
        <v>34</v>
      </c>
      <c r="E394" t="s">
        <v>35</v>
      </c>
      <c r="F394" s="7" t="str">
        <f>PROPER(LEFT('[1]Основной сток'!I391,FIND(CHAR(10),'[1]Основной сток'!I391&amp;CHAR(10))-1))</f>
        <v>Adidas Handball Spezial 'Shadow Brown Gum'</v>
      </c>
      <c r="G394" t="str">
        <f>F394 &amp; ", " &amp; '[1]Основной сток'!H391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сток'!J391 &amp; " / RU " &amp;
INDEX('[1]Размерная сетка'!$B$2:$B$40,MATCH('[1]Основной сток'!J391,'[1]Размерная сетка'!$A$2:$A$40,0)) &amp; " / US " &amp;
INDEX('[1]Размерная сетка'!$C$2:$C$40,MATCH('[1]Основной сток'!J391,'[1]Размерная сетка'!$A$2:$A$40,0)) &amp; " / см " &amp;
INDEX('[1]Размерная сетка'!$D$2:$D$40,MATCH('[1]Основной сток'!J391,'[1]Размерная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Adidas Handball Spezial 'Shadow Brown Gum', IF8914
• В наличии в Москве
• Оригинал, можно проверить при получении
• Совершенно новые, полный комплект
• Размер: EU 42 / RU 41 / US 8,5 / см 26,3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94" s="8">
        <f>'[1]Основной сток'!L391</f>
        <v>18500</v>
      </c>
      <c r="I394" s="1" t="str" cm="1">
        <f t="array" ref="I394">VLOOKUP(INDEX('[1]Основной сток'!H:H,ROW()-3),[1]Фотки!A:B,2,FALSE)</f>
        <v>https://i.ibb.co/ghjNZp9/1.jpg</v>
      </c>
      <c r="J394" t="s">
        <v>36</v>
      </c>
      <c r="K394" t="s">
        <v>37</v>
      </c>
      <c r="L394" t="str">
        <f t="shared" si="12"/>
        <v>Мужская обувь</v>
      </c>
      <c r="M394" t="s">
        <v>38</v>
      </c>
      <c r="N394" t="s">
        <v>39</v>
      </c>
      <c r="O394" t="str">
        <f>PROPER('[1]Основной сток'!F391)</f>
        <v>Adidas</v>
      </c>
      <c r="P394" t="str">
        <f>'[1]Основной сток'!M391</f>
        <v>Коричневый</v>
      </c>
      <c r="R394" t="s">
        <v>41</v>
      </c>
      <c r="S394" t="s">
        <v>42</v>
      </c>
      <c r="T394" t="str">
        <f t="shared" si="13"/>
        <v>Кроссовки</v>
      </c>
      <c r="U394">
        <f>'[1]Основной сток'!J391 - 1</f>
        <v>41</v>
      </c>
      <c r="V394" t="s">
        <v>43</v>
      </c>
      <c r="X394" t="s">
        <v>44</v>
      </c>
      <c r="Y394" t="s">
        <v>45</v>
      </c>
    </row>
    <row r="395" spans="1:25" x14ac:dyDescent="0.15">
      <c r="A395" s="6">
        <f>'[1]Основной сток'!A392</f>
        <v>3492896</v>
      </c>
      <c r="B395" t="s">
        <v>33</v>
      </c>
      <c r="D395" t="s">
        <v>34</v>
      </c>
      <c r="E395" t="s">
        <v>35</v>
      </c>
      <c r="F395" s="7" t="str">
        <f>PROPER(LEFT('[1]Основной сток'!I392,FIND(CHAR(10),'[1]Основной сток'!I392&amp;CHAR(10))-1))</f>
        <v>New Balance 530 'White Metallic Silver'</v>
      </c>
      <c r="G395" t="str">
        <f>F395 &amp; ", " &amp; '[1]Основной сток'!H392 &amp; CHAR(10) &amp;
"• В наличии в Москве" &amp; CHAR(10) &amp;
"• Оригинал, можно проверить при получении" &amp; CHAR(10) &amp;
"• Совершенно новые, полный комплект" &amp; CHAR(10) &amp;
"• Размер: EU " &amp;
'[1]Основной сток'!J392 &amp; " / RU " &amp;
INDEX('[1]Размерная сетка'!$B$2:$B$40,MATCH('[1]Основной сток'!J392,'[1]Размерная сетка'!$A$2:$A$40,0)) &amp; " / US " &amp;
INDEX('[1]Размерная сетка'!$C$2:$C$40,MATCH('[1]Основной сток'!J392,'[1]Размерная сетка'!$A$2:$A$40,0)) &amp; " / см " &amp;
INDEX('[1]Размерная сетка'!$D$2:$D$40,MATCH('[1]Основной сток'!J392,'[1]Размерная сетка'!$A$2:$A$40,0)) &amp; CHAR(10) &amp;
"• Посадка: размер в размер" &amp; CHAR(10) &amp; CHAR(10) &amp;
"🚚 Авито Доставка — по всей России" &amp; CHAR(10) &amp;
"📍 Самовывоз — Москва, м. Тульская, Даниловская мануфактура" &amp; CHAR(10) &amp; CHAR(10) &amp;
"По любым вопросам пишите в личные сообщения — все расскажем и поможем выбрать размер 👟"</f>
        <v>New Balance 530 'White Metallic Silver', MR530AD
• В наличии в Москве
• Оригинал, можно проверить при получении
• Совершенно новые, полный комплект
• Размер: EU 42 / RU 41 / US 8,5 / см 26,3
• Посадка: размер в размер
🚚 Авито Доставка — по всей России
📍 Самовывоз — Москва, м. Тульская, Даниловская мануфактура
По любым вопросам пишите в личные сообщения — все расскажем и поможем выбрать размер 👟</v>
      </c>
      <c r="H395" s="8">
        <f>'[1]Основной сток'!L392</f>
        <v>9300</v>
      </c>
      <c r="I395" s="1" t="str" cm="1">
        <f t="array" ref="I395">VLOOKUP(INDEX('[1]Основной сток'!H:H,ROW()-3),[1]Фотки!A:B,2,FALSE)</f>
        <v>https://i.ibb.co/4wKV8NY1/1-1.jpg|https://i.ibb.co/vCmtcQ9n/2.jpg|https://i.ibb.co/fJBrkTV/3.jpg|https://i.ibb.co/GfDCmjh4/4.jpg</v>
      </c>
      <c r="J395" t="s">
        <v>36</v>
      </c>
      <c r="K395" t="s">
        <v>37</v>
      </c>
      <c r="L395" t="str">
        <f t="shared" si="12"/>
        <v>Мужская обувь</v>
      </c>
      <c r="M395" t="s">
        <v>38</v>
      </c>
      <c r="N395" t="s">
        <v>39</v>
      </c>
      <c r="O395" t="str">
        <f>PROPER('[1]Основной сток'!F392)</f>
        <v>New Balance</v>
      </c>
      <c r="P395" t="str">
        <f>'[1]Основной сток'!M392</f>
        <v>Белый</v>
      </c>
      <c r="R395" t="s">
        <v>41</v>
      </c>
      <c r="S395" t="s">
        <v>42</v>
      </c>
      <c r="T395" t="str">
        <f t="shared" si="13"/>
        <v>Кроссовки</v>
      </c>
      <c r="U395">
        <f>'[1]Основной сток'!J392 - 1</f>
        <v>41</v>
      </c>
      <c r="V395" t="s">
        <v>43</v>
      </c>
      <c r="X395" t="s">
        <v>44</v>
      </c>
      <c r="Y395" t="s">
        <v>45</v>
      </c>
    </row>
    <row r="396" spans="1:25" x14ac:dyDescent="0.15">
      <c r="F396" s="7"/>
    </row>
    <row r="473" spans="9:9" x14ac:dyDescent="0.15">
      <c r="I473" s="1"/>
    </row>
  </sheetData>
  <hyperlinks>
    <hyperlink ref="C4" r:id="rId1" location="field-AvitoId" xr:uid="{16DB67A8-90FD-8748-B496-0D10A103560A}"/>
    <hyperlink ref="E3" r:id="rId2" location="field-Address" display="https://www.avito.ru/autoload/documentation/templates/100368#field-Address" xr:uid="{7AE0C2EC-E360-1841-B5FB-D591E078F55B}"/>
    <hyperlink ref="E4" r:id="rId3" location="field-Address" xr:uid="{353A59F3-DA92-7C45-B81B-9E296F1625D0}"/>
    <hyperlink ref="F4" r:id="rId4" location="field-Title" xr:uid="{57A8955E-00AC-AB4F-998D-85959C15A2A8}"/>
    <hyperlink ref="G4" r:id="rId5" location="field-Description" xr:uid="{7BB5CC30-D638-874C-881D-F51D77F68A4C}"/>
    <hyperlink ref="H4" r:id="rId6" location="field-Price" xr:uid="{91391D43-96A6-EC47-89F1-E3E70BFD07C5}"/>
    <hyperlink ref="I3" r:id="rId7" location="field-ImageUrls" display="https://www.avito.ru/autoload/documentation/templates/100368#field-ImageUrls" xr:uid="{C6A8500C-6520-2741-8071-2E8A298C3BD8}"/>
    <hyperlink ref="I4" r:id="rId8" location="field-ImageUrls" xr:uid="{1849E8E1-325B-C046-A881-D29CB1722E89}"/>
    <hyperlink ref="P3" r:id="rId9" location="field-Color" display="https://www.avito.ru/autoload/documentation/templates/100368#field-Color" xr:uid="{B8CD10E2-7402-814F-A228-461D6BB97E80}"/>
    <hyperlink ref="Q4" r:id="rId10" location="field-ColorName" xr:uid="{6081F60E-4C60-5A4A-9CEE-DE31C2767A1F}"/>
    <hyperlink ref="D4" r:id="rId11" location="field-ContactPhone" xr:uid="{898CD0D1-05B3-4E47-82A9-F7C69A3FBEFB}"/>
    <hyperlink ref="A4" r:id="rId12" location="field-Id" xr:uid="{A2D4B957-15B6-7541-A2F2-2087EA5AAF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vpetia0@gmail.com</cp:lastModifiedBy>
  <cp:revision>0</cp:revision>
  <dcterms:modified xsi:type="dcterms:W3CDTF">2026-03-01T03:40:38Z</dcterms:modified>
  <dc:language>en-US</dc:language>
</cp:coreProperties>
</file>